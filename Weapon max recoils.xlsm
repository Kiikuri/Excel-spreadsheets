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c5035a4492189b7/Työpöytä/tärkeää/"/>
    </mc:Choice>
  </mc:AlternateContent>
  <xr:revisionPtr revIDLastSave="882" documentId="8_{C4F60942-15F5-4822-AC02-7C2D79D73DE3}" xr6:coauthVersionLast="47" xr6:coauthVersionMax="47" xr10:uidLastSave="{1D962371-1658-49EE-8517-714A72C1A573}"/>
  <bookViews>
    <workbookView xWindow="-120" yWindow="-120" windowWidth="29040" windowHeight="15840" xr2:uid="{93B2EF6D-F26A-4015-8491-98830D38DC2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2" i="1" l="1"/>
  <c r="U2" i="1" a="1"/>
  <c r="U2" i="1" l="1"/>
  <c r="T34" i="1" a="1"/>
  <c r="T34" i="1" l="1"/>
  <c r="B8" i="1"/>
  <c r="E2" i="1"/>
  <c r="H2" i="1"/>
  <c r="L2" i="1"/>
  <c r="E3" i="1"/>
  <c r="H3" i="1"/>
  <c r="L3" i="1"/>
  <c r="E5" i="1"/>
  <c r="H5" i="1"/>
  <c r="L5" i="1"/>
  <c r="E4" i="1"/>
  <c r="H4" i="1"/>
  <c r="L4" i="1"/>
  <c r="E6" i="1"/>
  <c r="H6" i="1"/>
  <c r="L6" i="1"/>
  <c r="E7" i="1"/>
  <c r="H7" i="1"/>
  <c r="L7" i="1"/>
  <c r="E8" i="1"/>
  <c r="H8" i="1"/>
  <c r="L8" i="1"/>
  <c r="E10" i="1"/>
  <c r="H10" i="1"/>
  <c r="L10" i="1"/>
  <c r="E9" i="1"/>
  <c r="H9" i="1"/>
  <c r="L9" i="1"/>
  <c r="E12" i="1"/>
  <c r="H12" i="1"/>
  <c r="L12" i="1"/>
  <c r="E11" i="1"/>
  <c r="H11" i="1"/>
  <c r="L11" i="1"/>
  <c r="E13" i="1"/>
  <c r="H13" i="1"/>
  <c r="L13" i="1"/>
  <c r="E14" i="1"/>
  <c r="H14" i="1"/>
  <c r="L14" i="1"/>
  <c r="E15" i="1"/>
  <c r="H15" i="1"/>
  <c r="L15" i="1"/>
  <c r="E16" i="1"/>
  <c r="H16" i="1"/>
  <c r="L16" i="1"/>
  <c r="E17" i="1"/>
  <c r="H17" i="1"/>
  <c r="L17" i="1"/>
  <c r="E18" i="1"/>
  <c r="H18" i="1"/>
  <c r="L18" i="1"/>
  <c r="E19" i="1"/>
  <c r="H19" i="1"/>
  <c r="L19" i="1"/>
  <c r="E20" i="1"/>
  <c r="H20" i="1"/>
  <c r="L20" i="1"/>
  <c r="E22" i="1"/>
  <c r="H22" i="1"/>
  <c r="L22" i="1"/>
  <c r="E21" i="1"/>
  <c r="H21" i="1"/>
  <c r="L21" i="1"/>
  <c r="E23" i="1"/>
  <c r="H23" i="1"/>
  <c r="L23" i="1"/>
  <c r="E24" i="1"/>
  <c r="H24" i="1"/>
  <c r="L24" i="1"/>
  <c r="E25" i="1"/>
  <c r="H25" i="1"/>
  <c r="L25" i="1"/>
  <c r="E26" i="1"/>
  <c r="H26" i="1"/>
  <c r="L26" i="1"/>
  <c r="E27" i="1"/>
  <c r="H27" i="1"/>
  <c r="L27" i="1"/>
  <c r="E28" i="1"/>
  <c r="H28" i="1"/>
  <c r="L28" i="1"/>
  <c r="E29" i="1"/>
  <c r="H29" i="1"/>
  <c r="L29" i="1"/>
  <c r="E30" i="1"/>
  <c r="H30" i="1"/>
  <c r="L30" i="1"/>
  <c r="E31" i="1"/>
  <c r="H31" i="1"/>
  <c r="L31" i="1"/>
  <c r="AC44" i="1" a="1"/>
  <c r="U42" i="1" a="1"/>
  <c r="AE40" i="1" a="1"/>
  <c r="AG39" i="1" a="1"/>
  <c r="U39" i="1" a="1"/>
  <c r="AC38" i="1" a="1"/>
  <c r="AE37" i="1" a="1"/>
  <c r="Y37" i="1" a="1"/>
  <c r="AA36" i="1" a="1"/>
  <c r="U36" i="1" a="1"/>
  <c r="W35" i="1" a="1"/>
  <c r="Y34" i="1" a="1"/>
  <c r="AB59" i="1" a="1"/>
  <c r="AB56" i="1" a="1"/>
  <c r="AA63" i="1" a="1"/>
  <c r="U63" i="1" a="1"/>
  <c r="W62" i="1" a="1"/>
  <c r="AE61" i="1" a="1"/>
  <c r="Y61" i="1" a="1"/>
  <c r="AG60" i="1" a="1"/>
  <c r="AA60" i="1" a="1"/>
  <c r="U60" i="1" a="1"/>
  <c r="AC47" i="1" a="1"/>
  <c r="W47" i="1" a="1"/>
  <c r="AE46" i="1" a="1"/>
  <c r="Y46" i="1" a="1"/>
  <c r="AG45" i="1" a="1"/>
  <c r="AA45" i="1" a="1"/>
  <c r="U45" i="1" a="1"/>
  <c r="W44" i="1" a="1"/>
  <c r="AE43" i="1" a="1"/>
  <c r="Y43" i="1" a="1"/>
  <c r="AG42" i="1" a="1"/>
  <c r="AA42" i="1" a="1"/>
  <c r="AC41" i="1" a="1"/>
  <c r="W41" i="1" a="1"/>
  <c r="Y40" i="1" a="1"/>
  <c r="AA39" i="1" a="1"/>
  <c r="W38" i="1" a="1"/>
  <c r="AG36" i="1" a="1"/>
  <c r="AC35" i="1" a="1"/>
  <c r="AE34" i="1" a="1"/>
  <c r="T60" i="1" a="1"/>
  <c r="Z63" i="1" a="1"/>
  <c r="T63" i="1" a="1"/>
  <c r="AB62" i="1" a="1"/>
  <c r="V62" i="1" a="1"/>
  <c r="AD61" i="1" a="1"/>
  <c r="X61" i="1" a="1"/>
  <c r="AF60" i="1" a="1"/>
  <c r="Z60" i="1" a="1"/>
  <c r="AG38" i="1" a="1"/>
  <c r="AC37" i="1" a="1"/>
  <c r="AE36" i="1" a="1"/>
  <c r="AG35" i="1" a="1"/>
  <c r="AA35" i="1" a="1"/>
  <c r="AC34" i="1" a="1"/>
  <c r="W34" i="1" a="1"/>
  <c r="Y63" i="1" a="1"/>
  <c r="AA62" i="1" a="1"/>
  <c r="U62" i="1" a="1"/>
  <c r="AC61" i="1" a="1"/>
  <c r="W61" i="1" a="1"/>
  <c r="AE60" i="1" a="1"/>
  <c r="Y60" i="1" a="1"/>
  <c r="AG47" i="1" a="1"/>
  <c r="AA47" i="1" a="1"/>
  <c r="U47" i="1" a="1"/>
  <c r="AC46" i="1" a="1"/>
  <c r="W46" i="1" a="1"/>
  <c r="AE45" i="1" a="1"/>
  <c r="Y45" i="1" a="1"/>
  <c r="AG44" i="1" a="1"/>
  <c r="AA44" i="1" a="1"/>
  <c r="U44" i="1" a="1"/>
  <c r="AC43" i="1" a="1"/>
  <c r="W43" i="1" a="1"/>
  <c r="AE42" i="1" a="1"/>
  <c r="Y42" i="1" a="1"/>
  <c r="AG41" i="1" a="1"/>
  <c r="AA41" i="1" a="1"/>
  <c r="U41" i="1" a="1"/>
  <c r="AC40" i="1" a="1"/>
  <c r="W40" i="1" a="1"/>
  <c r="AE39" i="1" a="1"/>
  <c r="Y39" i="1" a="1"/>
  <c r="AA38" i="1" a="1"/>
  <c r="U38" i="1" a="1"/>
  <c r="W37" i="1" a="1"/>
  <c r="Y36" i="1" a="1"/>
  <c r="U35" i="1" a="1"/>
  <c r="X63" i="1" a="1"/>
  <c r="Z62" i="1" a="1"/>
  <c r="T62" i="1" a="1"/>
  <c r="AB61" i="1" a="1"/>
  <c r="V61" i="1" a="1"/>
  <c r="AD60" i="1" a="1"/>
  <c r="X60" i="1" a="1"/>
  <c r="AB58" i="1" a="1"/>
  <c r="AB55" i="1" a="1"/>
  <c r="AB52" i="1" a="1"/>
  <c r="AB49" i="1" a="1"/>
  <c r="AF47" i="1" a="1"/>
  <c r="Z47" i="1" a="1"/>
  <c r="T47" i="1" a="1"/>
  <c r="AB46" i="1" a="1"/>
  <c r="V46" i="1" a="1"/>
  <c r="AD45" i="1" a="1"/>
  <c r="X45" i="1" a="1"/>
  <c r="AF44" i="1" a="1"/>
  <c r="Z44" i="1" a="1"/>
  <c r="T44" i="1" a="1"/>
  <c r="AB43" i="1" a="1"/>
  <c r="V43" i="1" a="1"/>
  <c r="AD42" i="1" a="1"/>
  <c r="X42" i="1" a="1"/>
  <c r="AF41" i="1" a="1"/>
  <c r="Z41" i="1" a="1"/>
  <c r="T41" i="1" a="1"/>
  <c r="AB40" i="1" a="1"/>
  <c r="V40" i="1" a="1"/>
  <c r="AD39" i="1" a="1"/>
  <c r="X39" i="1" a="1"/>
  <c r="AF38" i="1" a="1"/>
  <c r="Z38" i="1" a="1"/>
  <c r="T38" i="1" a="1"/>
  <c r="AB37" i="1" a="1"/>
  <c r="V37" i="1" a="1"/>
  <c r="X36" i="1" a="1"/>
  <c r="AF35" i="1" a="1"/>
  <c r="Z35" i="1" a="1"/>
  <c r="T35" i="1" a="1"/>
  <c r="AB34" i="1" a="1"/>
  <c r="V34" i="1" a="1"/>
  <c r="W63" i="1" a="1"/>
  <c r="Y62" i="1" a="1"/>
  <c r="AG61" i="1" a="1"/>
  <c r="AA61" i="1" a="1"/>
  <c r="U61" i="1" a="1"/>
  <c r="AC60" i="1" a="1"/>
  <c r="W60" i="1" a="1"/>
  <c r="AB63" i="1" a="1"/>
  <c r="V63" i="1" a="1"/>
  <c r="X62" i="1" a="1"/>
  <c r="AF61" i="1" a="1"/>
  <c r="Z61" i="1" a="1"/>
  <c r="T61" i="1" a="1"/>
  <c r="AB60" i="1" a="1"/>
  <c r="V60" i="1" a="1"/>
  <c r="AB57" i="1" a="1"/>
  <c r="AB54" i="1" a="1"/>
  <c r="AE47" i="1" a="1"/>
  <c r="AF46" i="1" a="1"/>
  <c r="AD43" i="1" a="1"/>
  <c r="AC42" i="1" a="1"/>
  <c r="AD41" i="1" a="1"/>
  <c r="AB38" i="1" a="1"/>
  <c r="AA37" i="1" a="1"/>
  <c r="AB36" i="1" a="1"/>
  <c r="AG40" i="1" a="1"/>
  <c r="AF42" i="1" a="1"/>
  <c r="AD46" i="1" a="1"/>
  <c r="AC45" i="1" a="1"/>
  <c r="AD44" i="1" a="1"/>
  <c r="AB41" i="1" a="1"/>
  <c r="AA40" i="1" a="1"/>
  <c r="AB39" i="1" a="1"/>
  <c r="Z36" i="1" a="1"/>
  <c r="Y35" i="1" a="1"/>
  <c r="Z34" i="1" a="1"/>
  <c r="X34" i="1" a="1"/>
  <c r="X44" i="1" a="1"/>
  <c r="AE35" i="1" a="1"/>
  <c r="AC39" i="1" a="1"/>
  <c r="AD47" i="1" a="1"/>
  <c r="AB44" i="1" a="1"/>
  <c r="AA43" i="1" a="1"/>
  <c r="AB42" i="1" a="1"/>
  <c r="Z39" i="1" a="1"/>
  <c r="Y38" i="1" a="1"/>
  <c r="Z37" i="1" a="1"/>
  <c r="V39" i="1" a="1"/>
  <c r="AG34" i="1" a="1"/>
  <c r="T42" i="1" a="1"/>
  <c r="AF40" i="1" a="1"/>
  <c r="AE44" i="1" a="1"/>
  <c r="AB47" i="1" a="1"/>
  <c r="AA46" i="1" a="1"/>
  <c r="AB45" i="1" a="1"/>
  <c r="Z42" i="1" a="1"/>
  <c r="Y41" i="1" a="1"/>
  <c r="Z40" i="1" a="1"/>
  <c r="X37" i="1" a="1"/>
  <c r="W36" i="1" a="1"/>
  <c r="X35" i="1" a="1"/>
  <c r="W42" i="1" a="1"/>
  <c r="U37" i="1" a="1"/>
  <c r="T37" i="1" a="1"/>
  <c r="T40" i="1" a="1"/>
  <c r="AD37" i="1" a="1"/>
  <c r="AF45" i="1" a="1"/>
  <c r="AB50" i="1" a="1"/>
  <c r="AB48" i="1" a="1"/>
  <c r="Z45" i="1" a="1"/>
  <c r="Y44" i="1" a="1"/>
  <c r="Z43" i="1" a="1"/>
  <c r="X40" i="1" a="1"/>
  <c r="W39" i="1" a="1"/>
  <c r="X38" i="1" a="1"/>
  <c r="V35" i="1" a="1"/>
  <c r="U34" i="1" a="1"/>
  <c r="X41" i="1" a="1"/>
  <c r="V36" i="1" a="1"/>
  <c r="V41" i="1" a="1"/>
  <c r="T36" i="1" a="1"/>
  <c r="AF36" i="1" a="1"/>
  <c r="T46" i="1" a="1"/>
  <c r="AF43" i="1" a="1"/>
  <c r="AA34" i="1" a="1"/>
  <c r="AB51" i="1" a="1"/>
  <c r="Y47" i="1" a="1"/>
  <c r="Z46" i="1" a="1"/>
  <c r="X43" i="1" a="1"/>
  <c r="V38" i="1" a="1"/>
  <c r="V45" i="1" a="1"/>
  <c r="AE41" i="1" a="1"/>
  <c r="AB53" i="1" a="1"/>
  <c r="X46" i="1" a="1"/>
  <c r="W45" i="1" a="1"/>
  <c r="U40" i="1" a="1"/>
  <c r="V47" i="1" a="1"/>
  <c r="AD38" i="1" a="1"/>
  <c r="X47" i="1" a="1"/>
  <c r="V44" i="1" a="1"/>
  <c r="U43" i="1" a="1"/>
  <c r="V42" i="1" a="1"/>
  <c r="T39" i="1" a="1"/>
  <c r="AG37" i="1" a="1"/>
  <c r="U46" i="1" a="1"/>
  <c r="AF34" i="1" a="1"/>
  <c r="AC36" i="1" a="1"/>
  <c r="AD40" i="1" a="1"/>
  <c r="T45" i="1" a="1"/>
  <c r="AG43" i="1" a="1"/>
  <c r="T43" i="1" a="1"/>
  <c r="AF39" i="1" a="1"/>
  <c r="AE38" i="1" a="1"/>
  <c r="AF37" i="1" a="1"/>
  <c r="AG46" i="1" a="1"/>
  <c r="AB35" i="1" a="1"/>
  <c r="AD34" i="1" a="1"/>
  <c r="AD35" i="1" a="1"/>
  <c r="AD36" i="1" a="1"/>
  <c r="Z53" i="1" a="1"/>
  <c r="L56" i="1" a="1"/>
  <c r="V58" i="1" a="1"/>
  <c r="N52" i="1" a="1"/>
  <c r="Y51" i="1" a="1"/>
  <c r="M54" i="1" a="1"/>
  <c r="AG50" i="1" a="1"/>
  <c r="Z59" i="1" a="1"/>
  <c r="X52" i="1" a="1"/>
  <c r="P53" i="1" a="1"/>
  <c r="U50" i="1" a="1"/>
  <c r="Q51" i="1" a="1"/>
  <c r="AC49" i="1" a="1"/>
  <c r="N55" i="1" a="1"/>
  <c r="W49" i="1" a="1"/>
  <c r="M53" i="1" a="1"/>
  <c r="W54" i="1" a="1"/>
  <c r="AD49" i="1" a="1"/>
  <c r="X56" i="1" a="1"/>
  <c r="Q48" i="1" a="1"/>
  <c r="U55" i="1" a="1"/>
  <c r="M55" i="1" a="1"/>
  <c r="W55" i="1" a="1"/>
  <c r="X48" i="1" a="1"/>
  <c r="M48" i="1" a="1"/>
  <c r="T53" i="1" a="1"/>
  <c r="M59" i="1" a="1"/>
  <c r="AF62" i="1" a="1"/>
  <c r="P55" i="1" a="1"/>
  <c r="X57" i="1" a="1"/>
  <c r="L59" i="1" a="1"/>
  <c r="AD50" i="1" a="1"/>
  <c r="AC63" i="1" a="1"/>
  <c r="Z56" i="1" a="1"/>
  <c r="N57" i="1" a="1"/>
  <c r="T56" i="1" a="1"/>
  <c r="O49" i="1" a="1"/>
  <c r="Z50" i="1" a="1"/>
  <c r="AG49" i="1" a="1"/>
  <c r="T54" i="1" a="1"/>
  <c r="L49" i="1" a="1"/>
  <c r="AF48" i="1" a="1"/>
  <c r="V53" i="1" a="1"/>
  <c r="Z57" i="1" a="1"/>
  <c r="Q58" i="1" a="1"/>
  <c r="O50" i="1" a="1"/>
  <c r="AF55" i="1" a="1"/>
  <c r="AE63" i="1" a="1"/>
  <c r="Z55" i="1" a="1"/>
  <c r="U57" i="1" a="1"/>
  <c r="AD57" i="1" a="1"/>
  <c r="U49" i="1" a="1"/>
  <c r="V52" i="1" a="1"/>
  <c r="AF54" i="1" a="1"/>
  <c r="AE59" i="1" a="1"/>
  <c r="AA52" i="1" a="1"/>
  <c r="X51" i="1" a="1"/>
  <c r="P57" i="1" a="1"/>
  <c r="AF50" i="1" a="1"/>
  <c r="P49" i="1" a="1"/>
  <c r="T58" i="1" a="1"/>
  <c r="AD58" i="1" a="1"/>
  <c r="AG58" i="1" a="1"/>
  <c r="O53" i="1" a="1"/>
  <c r="AF52" i="1" a="1"/>
  <c r="W57" i="1" a="1"/>
  <c r="V57" i="1" a="1"/>
  <c r="AF51" i="1" a="1"/>
  <c r="AF59" i="1" a="1"/>
  <c r="T55" i="1" a="1"/>
  <c r="W58" i="1" a="1"/>
  <c r="AD59" i="1" a="1"/>
  <c r="W59" i="1" a="1"/>
  <c r="L48" i="1" a="1"/>
  <c r="T52" i="1" a="1"/>
  <c r="AF58" i="1" a="1"/>
  <c r="Y48" i="1" a="1"/>
  <c r="Z58" i="1" a="1"/>
  <c r="AG51" i="1" a="1"/>
  <c r="AD55" i="1" a="1"/>
  <c r="AC62" i="1" a="1"/>
  <c r="Y50" i="1" a="1"/>
  <c r="W56" i="1" a="1"/>
  <c r="AC48" i="1" a="1"/>
  <c r="U52" i="1" a="1"/>
  <c r="V51" i="1" a="1"/>
  <c r="P56" i="1" a="1"/>
  <c r="O51" i="1" a="1"/>
  <c r="P50" i="1" a="1"/>
  <c r="T48" i="1" a="1"/>
  <c r="N59" i="1" a="1"/>
  <c r="AA49" i="1" a="1"/>
  <c r="W48" i="1" a="1"/>
  <c r="AE50" i="1" a="1"/>
  <c r="W51" i="1" a="1"/>
  <c r="AF49" i="1" a="1"/>
  <c r="U54" i="1" a="1"/>
  <c r="L58" i="1" a="1"/>
  <c r="AE56" i="1" a="1"/>
  <c r="AD53" i="1" a="1"/>
  <c r="AG52" i="1" a="1"/>
  <c r="X53" i="1" a="1"/>
  <c r="AD54" i="1" a="1"/>
  <c r="AA55" i="1" a="1"/>
  <c r="AA57" i="1" a="1"/>
  <c r="X49" i="1" a="1"/>
  <c r="U51" i="1" a="1"/>
  <c r="AE53" i="1" a="1"/>
  <c r="AE57" i="1" a="1"/>
  <c r="AC52" i="1" a="1"/>
  <c r="AA56" i="1" a="1"/>
  <c r="AF57" i="1" a="1"/>
  <c r="P58" i="1" a="1"/>
  <c r="AD56" i="1" a="1"/>
  <c r="O58" i="1" a="1"/>
  <c r="AA51" i="1" a="1"/>
  <c r="AD52" i="1" a="1"/>
  <c r="L57" i="1" a="1"/>
  <c r="AC51" i="1" a="1"/>
  <c r="AG48" i="1" a="1"/>
  <c r="M56" i="1" a="1"/>
  <c r="L55" i="1" a="1"/>
  <c r="X50" i="1" a="1"/>
  <c r="M57" i="1" a="1"/>
  <c r="Y56" i="1" a="1"/>
  <c r="Z49" i="1" a="1"/>
  <c r="Z51" i="1" a="1"/>
  <c r="Y52" i="1" a="1"/>
  <c r="V50" i="1" a="1"/>
  <c r="AG62" i="1" a="1"/>
  <c r="Z48" i="1" a="1"/>
  <c r="U59" i="1" a="1"/>
  <c r="T59" i="1" a="1"/>
  <c r="U56" i="1" a="1"/>
  <c r="T57" i="1" a="1"/>
  <c r="Q56" i="1" a="1"/>
  <c r="V48" i="1" a="1"/>
  <c r="N56" i="1" a="1"/>
  <c r="V49" i="1" a="1"/>
  <c r="T51" i="1" a="1"/>
  <c r="X55" i="1" a="1"/>
  <c r="Y53" i="1" a="1"/>
  <c r="AC55" i="1" a="1"/>
  <c r="L54" i="1" a="1"/>
  <c r="AG63" i="1" a="1"/>
  <c r="U58" i="1" a="1"/>
  <c r="U53" i="1" a="1"/>
  <c r="AC57" i="1" a="1"/>
  <c r="AC56" i="1" a="1"/>
  <c r="Z52" i="1" a="1"/>
  <c r="Z54" i="1" a="1"/>
  <c r="N48" i="1" a="1"/>
  <c r="AE54" i="1" a="1"/>
  <c r="AE55" i="1" a="1"/>
  <c r="Q54" i="1" a="1"/>
  <c r="L53" i="1" a="1"/>
  <c r="O54" i="1" a="1"/>
  <c r="L51" i="1" a="1"/>
  <c r="T49" i="1" a="1"/>
  <c r="AC59" i="1" a="1"/>
  <c r="N58" i="1" a="1"/>
  <c r="AA50" i="1" a="1"/>
  <c r="L52" i="1" a="1"/>
  <c r="AE58" i="1" a="1"/>
  <c r="Y59" i="1" a="1"/>
  <c r="Y58" i="1" a="1"/>
  <c r="Q59" i="1" a="1"/>
  <c r="X54" i="1" a="1"/>
  <c r="AG55" i="1" a="1"/>
  <c r="AG53" i="1" a="1"/>
  <c r="N51" i="1" a="1"/>
  <c r="AD63" i="1" a="1"/>
  <c r="N53" i="1" a="1"/>
  <c r="AD62" i="1" a="1"/>
  <c r="AC50" i="1" a="1"/>
  <c r="Q52" i="1" a="1"/>
  <c r="Y55" i="1" a="1"/>
  <c r="O52" i="1" a="1"/>
  <c r="V56" i="1" a="1"/>
  <c r="M58" i="1" a="1"/>
  <c r="AA54" i="1" a="1"/>
  <c r="M50" i="1" a="1"/>
  <c r="AF56" i="1" a="1"/>
  <c r="N50" i="1" a="1"/>
  <c r="AC53" i="1" a="1"/>
  <c r="P59" i="1" a="1"/>
  <c r="W53" i="1" a="1"/>
  <c r="Q57" i="1" a="1"/>
  <c r="AG57" i="1" a="1"/>
  <c r="O59" i="1" a="1"/>
  <c r="AE48" i="1" a="1"/>
  <c r="AC58" i="1" a="1"/>
  <c r="M52" i="1" a="1"/>
  <c r="M51" i="1" a="1"/>
  <c r="Y57" i="1" a="1"/>
  <c r="L50" i="1" a="1"/>
  <c r="W50" i="1" a="1"/>
  <c r="Q50" i="1" a="1"/>
  <c r="AG54" i="1" a="1"/>
  <c r="O56" i="1" a="1"/>
  <c r="Y49" i="1" a="1"/>
  <c r="X58" i="1" a="1"/>
  <c r="AD51" i="1" a="1"/>
  <c r="N49" i="1" a="1"/>
  <c r="AA48" i="1" a="1"/>
  <c r="O57" i="1" a="1"/>
  <c r="U48" i="1" a="1"/>
  <c r="Q55" i="1" a="1"/>
  <c r="AE52" i="1" a="1"/>
  <c r="P51" i="1" a="1"/>
  <c r="V55" i="1" a="1"/>
  <c r="AC54" i="1" a="1"/>
  <c r="AF53" i="1" a="1"/>
  <c r="P54" i="1" a="1"/>
  <c r="M49" i="1" a="1"/>
  <c r="P52" i="1" a="1"/>
  <c r="V54" i="1" a="1"/>
  <c r="AE62" i="1" a="1"/>
  <c r="W52" i="1" a="1"/>
  <c r="P48" i="1" a="1"/>
  <c r="AG56" i="1" a="1"/>
  <c r="O48" i="1" a="1"/>
  <c r="AE49" i="1" a="1"/>
  <c r="N54" i="1" a="1"/>
  <c r="V59" i="1" a="1"/>
  <c r="AA58" i="1" a="1"/>
  <c r="X59" i="1" a="1"/>
  <c r="Q49" i="1" a="1"/>
  <c r="AF63" i="1" a="1"/>
  <c r="O55" i="1" a="1"/>
  <c r="AG59" i="1" a="1"/>
  <c r="Q53" i="1" a="1"/>
  <c r="AA59" i="1" a="1"/>
  <c r="AA53" i="1" a="1"/>
  <c r="T50" i="1" a="1"/>
  <c r="AD48" i="1" a="1"/>
  <c r="AE51" i="1" a="1"/>
  <c r="Y54" i="1" a="1"/>
  <c r="Y29" i="1" a="1"/>
  <c r="AG28" i="1" a="1"/>
  <c r="AA28" i="1" a="1"/>
  <c r="Y23" i="1" a="1"/>
  <c r="W18" i="1" a="1"/>
  <c r="AF28" i="1" a="1"/>
  <c r="AD23" i="1" a="1"/>
  <c r="AB18" i="1" a="1"/>
  <c r="Z13" i="1" a="1"/>
  <c r="X8" i="1" a="1"/>
  <c r="V3" i="1" a="1"/>
  <c r="AG27" i="1" a="1"/>
  <c r="AE22" i="1" a="1"/>
  <c r="AC17" i="1" a="1"/>
  <c r="AA12" i="1" a="1"/>
  <c r="Y7" i="1" a="1"/>
  <c r="W2" i="1" a="1"/>
  <c r="T27" i="1" a="1"/>
  <c r="AF21" i="1" a="1"/>
  <c r="AD16" i="1" a="1"/>
  <c r="AB11" i="1" a="1"/>
  <c r="Z6" i="1" a="1"/>
  <c r="X12" i="1" a="1"/>
  <c r="U16" i="1" a="1"/>
  <c r="Z29" i="1" a="1"/>
  <c r="U20" i="1" a="1"/>
  <c r="AE11" i="1" a="1"/>
  <c r="AG8" i="1" a="1"/>
  <c r="X3" i="1" a="1"/>
  <c r="V25" i="1" a="1"/>
  <c r="AE6" i="1" a="1"/>
  <c r="AB19" i="1" a="1"/>
  <c r="AE9" i="1" a="1"/>
  <c r="W28" i="1" a="1"/>
  <c r="U23" i="1" a="1"/>
  <c r="AD9" i="1" a="1"/>
  <c r="AC12" i="1" a="1"/>
  <c r="AG22" i="1" a="1"/>
  <c r="V18" i="1" a="1"/>
  <c r="AA27" i="1" a="1"/>
  <c r="Z21" i="1" a="1"/>
  <c r="T8" i="1" a="1"/>
  <c r="Z11" i="1" a="1"/>
  <c r="U28" i="1" a="1"/>
  <c r="AC27" i="1" a="1"/>
  <c r="AA22" i="1" a="1"/>
  <c r="Y17" i="1" a="1"/>
  <c r="T28" i="1" a="1"/>
  <c r="AF22" i="1" a="1"/>
  <c r="AD17" i="1" a="1"/>
  <c r="AB12" i="1" a="1"/>
  <c r="Z7" i="1" a="1"/>
  <c r="X2" i="1" a="1"/>
  <c r="U27" i="1" a="1"/>
  <c r="AG21" i="1" a="1"/>
  <c r="AE16" i="1" a="1"/>
  <c r="AC11" i="1" a="1"/>
  <c r="AA6" i="1" a="1"/>
  <c r="X31" i="1" a="1"/>
  <c r="V26" i="1" a="1"/>
  <c r="T21" i="1" a="1"/>
  <c r="AF15" i="1" a="1"/>
  <c r="AD10" i="1" a="1"/>
  <c r="AB5" i="1" a="1"/>
  <c r="U8" i="1" a="1"/>
  <c r="AC7" i="1" a="1"/>
  <c r="U5" i="1" a="1"/>
  <c r="AA17" i="1" a="1"/>
  <c r="AC25" i="1" a="1"/>
  <c r="U7" i="1" a="1"/>
  <c r="AB22" i="1" a="1"/>
  <c r="AG4" i="1" a="1"/>
  <c r="AE30" i="1" a="1"/>
  <c r="AG7" i="1" a="1"/>
  <c r="Y12" i="1" a="1"/>
  <c r="Z8" i="1" a="1"/>
  <c r="AA5" i="1" a="1"/>
  <c r="X24" i="1" a="1"/>
  <c r="U22" i="1" a="1"/>
  <c r="AG16" i="1" a="1"/>
  <c r="AB27" i="1" a="1"/>
  <c r="Z22" i="1" a="1"/>
  <c r="X17" i="1" a="1"/>
  <c r="V12" i="1" a="1"/>
  <c r="T7" i="1" a="1"/>
  <c r="AE31" i="1" a="1"/>
  <c r="AC26" i="1" a="1"/>
  <c r="AA21" i="1" a="1"/>
  <c r="Y16" i="1" a="1"/>
  <c r="W11" i="1" a="1"/>
  <c r="U6" i="1" a="1"/>
  <c r="AF30" i="1" a="1"/>
  <c r="AD25" i="1" a="1"/>
  <c r="AB20" i="1" a="1"/>
  <c r="Z15" i="1" a="1"/>
  <c r="X10" i="1" a="1"/>
  <c r="V5" i="1" a="1"/>
  <c r="V7" i="1" a="1"/>
  <c r="AB4" i="1" a="1"/>
  <c r="AC31" i="1" a="1"/>
  <c r="W16" i="1" a="1"/>
  <c r="AB13" i="1" a="1"/>
  <c r="AE3" i="1" a="1"/>
  <c r="T23" i="1" a="1"/>
  <c r="X21" i="1" a="1"/>
  <c r="AG29" i="1" a="1"/>
  <c r="AG17" i="1" a="1"/>
  <c r="AC4" i="1" a="1"/>
  <c r="AB25" i="1" a="1"/>
  <c r="Y2" i="1" a="1"/>
  <c r="AC3" i="1" a="1"/>
  <c r="V19" i="1" a="1"/>
  <c r="X23" i="1" a="1"/>
  <c r="V11" i="1" a="1"/>
  <c r="AC15" i="1" a="1"/>
  <c r="AE8" i="1" a="1"/>
  <c r="W27" i="1" a="1"/>
  <c r="AG31" i="1" a="1"/>
  <c r="AE26" i="1" a="1"/>
  <c r="AC21" i="1" a="1"/>
  <c r="AA16" i="1" a="1"/>
  <c r="V27" i="1" a="1"/>
  <c r="T22" i="1" a="1"/>
  <c r="AF16" i="1" a="1"/>
  <c r="AD11" i="1" a="1"/>
  <c r="AB6" i="1" a="1"/>
  <c r="Y31" i="1" a="1"/>
  <c r="W26" i="1" a="1"/>
  <c r="U21" i="1" a="1"/>
  <c r="AG15" i="1" a="1"/>
  <c r="AE10" i="1" a="1"/>
  <c r="AC5" i="1" a="1"/>
  <c r="Z30" i="1" a="1"/>
  <c r="X25" i="1" a="1"/>
  <c r="V20" i="1" a="1"/>
  <c r="T15" i="1" a="1"/>
  <c r="AF9" i="1" a="1"/>
  <c r="AD4" i="1" a="1"/>
  <c r="W6" i="1" a="1"/>
  <c r="Z23" i="1" a="1"/>
  <c r="Y30" i="1" a="1"/>
  <c r="X15" i="1" a="1"/>
  <c r="W4" i="1" a="1"/>
  <c r="AF2" i="1" a="1"/>
  <c r="AD21" i="1" a="1"/>
  <c r="T20" i="1" a="1"/>
  <c r="AE24" i="1" a="1"/>
  <c r="AA7" i="1" a="1"/>
  <c r="AD3" i="1" a="1"/>
  <c r="Z20" i="1" a="1"/>
  <c r="W7" i="1" a="1"/>
  <c r="AB28" i="1" a="1"/>
  <c r="Y26" i="1" a="1"/>
  <c r="AF31" i="1" a="1"/>
  <c r="AB21" i="1" a="1"/>
  <c r="Z16" i="1" a="1"/>
  <c r="V6" i="1" a="1"/>
  <c r="AG30" i="1" a="1"/>
  <c r="AE25" i="1" a="1"/>
  <c r="AA15" i="1" a="1"/>
  <c r="Y10" i="1" a="1"/>
  <c r="W5" i="1" a="1"/>
  <c r="AF24" i="1" a="1"/>
  <c r="AD19" i="1" a="1"/>
  <c r="AB14" i="1" a="1"/>
  <c r="X4" i="1" a="1"/>
  <c r="AG2" i="1" a="1"/>
  <c r="U29" i="1" a="1"/>
  <c r="AA10" i="1" a="1"/>
  <c r="AB16" i="1" a="1"/>
  <c r="AG20" i="1" a="1"/>
  <c r="AE2" i="1" a="1"/>
  <c r="AF26" i="1" a="1"/>
  <c r="AG25" i="1" a="1"/>
  <c r="Z31" i="1" a="1"/>
  <c r="X26" i="1" a="1"/>
  <c r="V21" i="1" a="1"/>
  <c r="AF10" i="1" a="1"/>
  <c r="AA30" i="1" a="1"/>
  <c r="W20" i="1" a="1"/>
  <c r="AG9" i="1" a="1"/>
  <c r="AB29" i="1" a="1"/>
  <c r="X19" i="1" a="1"/>
  <c r="T9" i="1" a="1"/>
  <c r="T2" i="1" a="1"/>
  <c r="AE27" i="1" a="1"/>
  <c r="V28" i="1" a="1"/>
  <c r="X27" i="1" a="1"/>
  <c r="Z17" i="1" a="1"/>
  <c r="AD30" i="1" a="1"/>
  <c r="U26" i="1" a="1"/>
  <c r="AD12" i="1" a="1"/>
  <c r="W12" i="1" a="1"/>
  <c r="U13" i="1" a="1"/>
  <c r="Z28" i="1" a="1"/>
  <c r="Y22" i="1" a="1"/>
  <c r="AB26" i="1" a="1"/>
  <c r="T6" i="1" a="1"/>
  <c r="AE18" i="1" a="1"/>
  <c r="AF23" i="1" a="1"/>
  <c r="AA14" i="1" a="1"/>
  <c r="AA31" i="1" a="1"/>
  <c r="W21" i="1" a="1"/>
  <c r="AD26" i="1" a="1"/>
  <c r="X11" i="1" a="1"/>
  <c r="AC20" i="1" a="1"/>
  <c r="T30" i="1" a="1"/>
  <c r="Z9" i="1" a="1"/>
  <c r="AF20" i="1" a="1"/>
  <c r="Y14" i="1" a="1"/>
  <c r="Y27" i="1" a="1"/>
  <c r="AD18" i="1" a="1"/>
  <c r="X6" i="1" a="1"/>
  <c r="W3" i="1" a="1"/>
  <c r="V22" i="1" a="1"/>
  <c r="AE20" i="1" a="1"/>
  <c r="T16" i="1" a="1"/>
  <c r="AD5" i="1" a="1"/>
  <c r="Y25" i="1" a="1"/>
  <c r="U15" i="1" a="1"/>
  <c r="AE4" i="1" a="1"/>
  <c r="Z24" i="1" a="1"/>
  <c r="V14" i="1" a="1"/>
  <c r="AF3" i="1" a="1"/>
  <c r="AC13" i="1" a="1"/>
  <c r="U11" i="1" a="1"/>
  <c r="W10" i="1" a="1"/>
  <c r="AC19" i="1" a="1"/>
  <c r="AA23" i="1" a="1"/>
  <c r="AF17" i="1" a="1"/>
  <c r="AD24" i="1" a="1"/>
  <c r="V31" i="1" a="1"/>
  <c r="AA20" i="1" a="1"/>
  <c r="T13" i="1" a="1"/>
  <c r="AD31" i="1" a="1"/>
  <c r="Y15" i="1" a="1"/>
  <c r="AF8" i="1" a="1"/>
  <c r="U31" i="1" a="1"/>
  <c r="AC30" i="1" a="1"/>
  <c r="AA25" i="1" a="1"/>
  <c r="Y20" i="1" a="1"/>
  <c r="T31" i="1" a="1"/>
  <c r="AF25" i="1" a="1"/>
  <c r="AD20" i="1" a="1"/>
  <c r="AB15" i="1" a="1"/>
  <c r="Z10" i="1" a="1"/>
  <c r="X5" i="1" a="1"/>
  <c r="U30" i="1" a="1"/>
  <c r="AG24" i="1" a="1"/>
  <c r="AE19" i="1" a="1"/>
  <c r="AC14" i="1" a="1"/>
  <c r="AA9" i="1" a="1"/>
  <c r="Y4" i="1" a="1"/>
  <c r="V29" i="1" a="1"/>
  <c r="T24" i="1" a="1"/>
  <c r="AF18" i="1" a="1"/>
  <c r="AD13" i="1" a="1"/>
  <c r="AB8" i="1" a="1"/>
  <c r="Z3" i="1" a="1"/>
  <c r="V10" i="1" a="1"/>
  <c r="Y3" i="1" a="1"/>
  <c r="AA26" i="1" a="1"/>
  <c r="W9" i="1" a="1"/>
  <c r="AA13" i="1" a="1"/>
  <c r="AA8" i="1" a="1"/>
  <c r="AB31" i="1" a="1"/>
  <c r="V16" i="1" a="1"/>
  <c r="U17" i="1" a="1"/>
  <c r="Z14" i="1" a="1"/>
  <c r="AE5" i="1" a="1"/>
  <c r="AG10" i="1" a="1"/>
  <c r="X9" i="1" a="1"/>
  <c r="Z2" i="1" a="1"/>
  <c r="V9" i="1" a="1"/>
  <c r="AF27" i="1" a="1"/>
  <c r="Z12" i="1" a="1"/>
  <c r="V2" i="1" a="1"/>
  <c r="AC22" i="1" a="1"/>
  <c r="AC16" i="1" a="1"/>
  <c r="AA2" i="1" a="1"/>
  <c r="AB7" i="1" a="1"/>
  <c r="AC18" i="1" a="1"/>
  <c r="AF13" i="1" a="1"/>
  <c r="Y28" i="1" a="1"/>
  <c r="AG12" i="1" a="1"/>
  <c r="X22" i="1" a="1"/>
  <c r="AF6" i="1" a="1"/>
  <c r="Y5" i="1" a="1"/>
  <c r="Z26" i="1" a="1"/>
  <c r="AB10" i="1" a="1"/>
  <c r="AD2" i="1" a="1"/>
  <c r="AG6" i="1" a="1"/>
  <c r="Y11" i="1" a="1"/>
  <c r="AF5" i="1" a="1"/>
  <c r="W30" i="1" a="1"/>
  <c r="U25" i="1" a="1"/>
  <c r="AG19" i="1" a="1"/>
  <c r="AB30" i="1" a="1"/>
  <c r="Z25" i="1" a="1"/>
  <c r="X20" i="1" a="1"/>
  <c r="V15" i="1" a="1"/>
  <c r="T10" i="1" a="1"/>
  <c r="AF4" i="1" a="1"/>
  <c r="AC29" i="1" a="1"/>
  <c r="AA24" i="1" a="1"/>
  <c r="Y19" i="1" a="1"/>
  <c r="W14" i="1" a="1"/>
  <c r="U9" i="1" a="1"/>
  <c r="AG3" i="1" a="1"/>
  <c r="AD28" i="1" a="1"/>
  <c r="AB23" i="1" a="1"/>
  <c r="Z18" i="1" a="1"/>
  <c r="X13" i="1" a="1"/>
  <c r="V8" i="1" a="1"/>
  <c r="T3" i="1" a="1"/>
  <c r="T5" i="1" a="1"/>
  <c r="Z5" i="1" a="1"/>
  <c r="W25" i="1" a="1"/>
  <c r="AG5" i="1" a="1"/>
  <c r="Y8" i="1" a="1"/>
  <c r="AC9" i="1" a="1"/>
  <c r="X30" i="1" a="1"/>
  <c r="W15" i="1" a="1"/>
  <c r="AE12" i="1" a="1"/>
  <c r="V4" i="1" a="1"/>
  <c r="AF29" i="1" a="1"/>
  <c r="T26" i="1" a="1"/>
  <c r="AE15" i="1" a="1"/>
  <c r="AE14" i="1" a="1"/>
  <c r="T18" i="1" a="1"/>
  <c r="AF12" i="1" a="1"/>
  <c r="AD7" i="1" a="1"/>
  <c r="AB2" i="1" a="1"/>
  <c r="W31" i="1" a="1"/>
  <c r="AG23" i="1" a="1"/>
  <c r="U4" i="1" a="1"/>
  <c r="U14" i="1" a="1"/>
  <c r="Y24" i="1" a="1"/>
  <c r="T29" i="1" a="1"/>
  <c r="AG11" i="1" a="1"/>
  <c r="AG14" i="1" a="1"/>
  <c r="X18" i="1" a="1"/>
  <c r="T17" i="1" a="1"/>
  <c r="AF14" i="1" a="1"/>
  <c r="AA4" i="1" a="1"/>
  <c r="W24" i="1" a="1"/>
  <c r="U19" i="1" a="1"/>
  <c r="AD29" i="1" a="1"/>
  <c r="Z19" i="1" a="1"/>
  <c r="X14" i="1" a="1"/>
  <c r="AE28" i="1" a="1"/>
  <c r="AA18" i="1" a="1"/>
  <c r="W8" i="1" a="1"/>
  <c r="AD22" i="1" a="1"/>
  <c r="X7" i="1" a="1"/>
  <c r="W19" i="1" a="1"/>
  <c r="V13" i="1" a="1"/>
  <c r="T11" i="1" a="1"/>
  <c r="AD15" i="1" a="1"/>
  <c r="AG26" i="1" a="1"/>
  <c r="X29" i="1" a="1"/>
  <c r="T19" i="1" a="1"/>
  <c r="AB3" i="1" a="1"/>
  <c r="U18" i="1" a="1"/>
  <c r="Z27" i="1" a="1"/>
  <c r="T12" i="1" a="1"/>
  <c r="Y18" i="1" a="1"/>
  <c r="Y9" i="1" a="1"/>
  <c r="Y6" i="1" a="1"/>
  <c r="AE17" i="1" a="1"/>
  <c r="W17" i="1" a="1"/>
  <c r="X16" i="1" a="1"/>
  <c r="AA11" i="1" a="1"/>
  <c r="AE21" i="1" a="1"/>
  <c r="AE29" i="1" a="1"/>
  <c r="AC24" i="1" a="1"/>
  <c r="AA19" i="1" a="1"/>
  <c r="V30" i="1" a="1"/>
  <c r="T25" i="1" a="1"/>
  <c r="AF19" i="1" a="1"/>
  <c r="AD14" i="1" a="1"/>
  <c r="AB9" i="1" a="1"/>
  <c r="Z4" i="1" a="1"/>
  <c r="W29" i="1" a="1"/>
  <c r="U24" i="1" a="1"/>
  <c r="AG18" i="1" a="1"/>
  <c r="AE13" i="1" a="1"/>
  <c r="AC8" i="1" a="1"/>
  <c r="AA3" i="1" a="1"/>
  <c r="X28" i="1" a="1"/>
  <c r="V23" i="1" a="1"/>
  <c r="AA29" i="1" a="1"/>
  <c r="AD6" i="1" a="1"/>
  <c r="AB24" i="1" a="1"/>
  <c r="T4" i="1" a="1"/>
  <c r="AC23" i="1" a="1"/>
  <c r="Y13" i="1" a="1"/>
  <c r="U3" i="1" a="1"/>
  <c r="AB17" i="1" a="1"/>
  <c r="W22" i="1" a="1"/>
  <c r="AC28" i="1" a="1"/>
  <c r="AD27" i="1" a="1"/>
  <c r="T14" i="1" a="1"/>
  <c r="AG13" i="1" a="1"/>
  <c r="AE23" i="1" a="1"/>
  <c r="V24" i="1" a="1"/>
  <c r="AD8" i="1" a="1"/>
  <c r="W23" i="1" a="1"/>
  <c r="AE7" i="1" a="1"/>
  <c r="AC2" i="1" a="1"/>
  <c r="V17" i="1" a="1"/>
  <c r="W13" i="1" a="1"/>
  <c r="Y21" i="1" a="1"/>
  <c r="U10" i="1" a="1"/>
  <c r="AC10" i="1" a="1"/>
  <c r="AF7" i="1" a="1"/>
  <c r="U12" i="1" a="1"/>
  <c r="AF11" i="1" a="1"/>
  <c r="AC6" i="1" a="1"/>
  <c r="I30" i="1" l="1"/>
  <c r="I21" i="1"/>
  <c r="I9" i="1"/>
  <c r="I3" i="1"/>
  <c r="V19" i="1"/>
  <c r="X24" i="1"/>
  <c r="Z11" i="1"/>
  <c r="AC12" i="1"/>
  <c r="AA20" i="1"/>
  <c r="AG26" i="1"/>
  <c r="AA4" i="1"/>
  <c r="AE14" i="1"/>
  <c r="Z2" i="1"/>
  <c r="AD12" i="1"/>
  <c r="V22" i="1"/>
  <c r="AB28" i="1"/>
  <c r="AC3" i="1"/>
  <c r="AA5" i="1"/>
  <c r="AE8" i="1"/>
  <c r="AD9" i="1"/>
  <c r="AC10" i="1"/>
  <c r="AG13" i="1"/>
  <c r="AF14" i="1"/>
  <c r="AE15" i="1"/>
  <c r="X9" i="1"/>
  <c r="AF17" i="1"/>
  <c r="AF26" i="1"/>
  <c r="W7" i="1"/>
  <c r="Y2" i="1"/>
  <c r="Z8" i="1"/>
  <c r="AA14" i="1"/>
  <c r="U23" i="1"/>
  <c r="AB10" i="1"/>
  <c r="AB7" i="1"/>
  <c r="T17" i="1"/>
  <c r="T26" i="1"/>
  <c r="AG10" i="1"/>
  <c r="U26" i="1"/>
  <c r="W3" i="1"/>
  <c r="Z20" i="1"/>
  <c r="AB25" i="1"/>
  <c r="Y12" i="1"/>
  <c r="AE21" i="1"/>
  <c r="W28" i="1"/>
  <c r="Y6" i="1"/>
  <c r="AD15" i="1"/>
  <c r="X18" i="1"/>
  <c r="AF29" i="1"/>
  <c r="AE5" i="1"/>
  <c r="AA23" i="1"/>
  <c r="AE2" i="1"/>
  <c r="AD3" i="1"/>
  <c r="AC4" i="1"/>
  <c r="AG7" i="1"/>
  <c r="AF8" i="1"/>
  <c r="AE9" i="1"/>
  <c r="U13" i="1"/>
  <c r="T14" i="1"/>
  <c r="AG14" i="1"/>
  <c r="V4" i="1"/>
  <c r="Z14" i="1"/>
  <c r="AD30" i="1"/>
  <c r="X6" i="1"/>
  <c r="AA7" i="1"/>
  <c r="AG17" i="1"/>
  <c r="AE30" i="1"/>
  <c r="AC6" i="1"/>
  <c r="AB19" i="1"/>
  <c r="V31" i="1"/>
  <c r="AL31" i="1" s="1"/>
  <c r="AA2" i="1"/>
  <c r="AD6" i="1"/>
  <c r="AE12" i="1"/>
  <c r="U17" i="1"/>
  <c r="AC19" i="1"/>
  <c r="AG20" i="1"/>
  <c r="AE24" i="1"/>
  <c r="AG29" i="1"/>
  <c r="AG4" i="1"/>
  <c r="AF5" i="1"/>
  <c r="AE6" i="1"/>
  <c r="U10" i="1"/>
  <c r="T11" i="1"/>
  <c r="AG11" i="1"/>
  <c r="W15" i="1"/>
  <c r="V16" i="1"/>
  <c r="Z17" i="1"/>
  <c r="AD18" i="1"/>
  <c r="T20" i="1"/>
  <c r="X21" i="1"/>
  <c r="AB22" i="1"/>
  <c r="AF23" i="1"/>
  <c r="V25" i="1"/>
  <c r="Z26" i="1"/>
  <c r="AD27" i="1"/>
  <c r="T29" i="1"/>
  <c r="X30" i="1"/>
  <c r="AB31" i="1"/>
  <c r="AR31" i="1" s="1"/>
  <c r="W10" i="1"/>
  <c r="AB16" i="1"/>
  <c r="AD21" i="1"/>
  <c r="T23" i="1"/>
  <c r="AC15" i="1"/>
  <c r="X3" i="1"/>
  <c r="Y9" i="1"/>
  <c r="AC16" i="1"/>
  <c r="Y24" i="1"/>
  <c r="AC9" i="1"/>
  <c r="AA8" i="1"/>
  <c r="X27" i="1"/>
  <c r="Y27" i="1"/>
  <c r="AF2" i="1"/>
  <c r="AE3" i="1"/>
  <c r="U7" i="1"/>
  <c r="T8" i="1"/>
  <c r="AG8" i="1"/>
  <c r="W12" i="1"/>
  <c r="V13" i="1"/>
  <c r="U14" i="1"/>
  <c r="Y8" i="1"/>
  <c r="AA13" i="1"/>
  <c r="V28" i="1"/>
  <c r="AA10" i="1"/>
  <c r="W4" i="1"/>
  <c r="AB13" i="1"/>
  <c r="AC25" i="1"/>
  <c r="AA11" i="1"/>
  <c r="AE11" i="1"/>
  <c r="AD24" i="1"/>
  <c r="AC28" i="1"/>
  <c r="U4" i="1"/>
  <c r="AG5" i="1"/>
  <c r="W9" i="1"/>
  <c r="U11" i="1"/>
  <c r="Y14" i="1"/>
  <c r="X15" i="1"/>
  <c r="W16" i="1"/>
  <c r="AA17" i="1"/>
  <c r="AE18" i="1"/>
  <c r="U20" i="1"/>
  <c r="Y21" i="1"/>
  <c r="AC22" i="1"/>
  <c r="AG23" i="1"/>
  <c r="W25" i="1"/>
  <c r="AA26" i="1"/>
  <c r="AE27" i="1"/>
  <c r="U29" i="1"/>
  <c r="Y30" i="1"/>
  <c r="AC31" i="1"/>
  <c r="U5" i="1"/>
  <c r="Y15" i="1"/>
  <c r="Z29" i="1"/>
  <c r="Y5" i="1"/>
  <c r="W19" i="1"/>
  <c r="AA29" i="1"/>
  <c r="Z5" i="1"/>
  <c r="Y3" i="1"/>
  <c r="AC13" i="1"/>
  <c r="AF20" i="1"/>
  <c r="Z23" i="1"/>
  <c r="AB4" i="1"/>
  <c r="AC7" i="1"/>
  <c r="AF11" i="1"/>
  <c r="U16" i="1"/>
  <c r="Y18" i="1"/>
  <c r="W22" i="1"/>
  <c r="W31" i="1"/>
  <c r="AM31" i="1" s="1"/>
  <c r="T5" i="1"/>
  <c r="V10" i="1"/>
  <c r="T2" i="1"/>
  <c r="AG2" i="1"/>
  <c r="AW2" i="1" s="1"/>
  <c r="W6" i="1"/>
  <c r="V7" i="1"/>
  <c r="U8" i="1"/>
  <c r="Y11" i="1"/>
  <c r="X12" i="1"/>
  <c r="W13" i="1"/>
  <c r="V2" i="1"/>
  <c r="AB2" i="1"/>
  <c r="T3" i="1"/>
  <c r="Z3" i="1"/>
  <c r="AF3" i="1"/>
  <c r="X4" i="1"/>
  <c r="AD4" i="1"/>
  <c r="V5" i="1"/>
  <c r="AB5" i="1"/>
  <c r="T6" i="1"/>
  <c r="Z6" i="1"/>
  <c r="AF6" i="1"/>
  <c r="X7" i="1"/>
  <c r="AD7" i="1"/>
  <c r="V8" i="1"/>
  <c r="AB8" i="1"/>
  <c r="T9" i="1"/>
  <c r="Z9" i="1"/>
  <c r="AF9" i="1"/>
  <c r="X10" i="1"/>
  <c r="AD10" i="1"/>
  <c r="V11" i="1"/>
  <c r="AB11" i="1"/>
  <c r="T12" i="1"/>
  <c r="Z12" i="1"/>
  <c r="AF12" i="1"/>
  <c r="X13" i="1"/>
  <c r="AD13" i="1"/>
  <c r="V14" i="1"/>
  <c r="AB14" i="1"/>
  <c r="T15" i="1"/>
  <c r="Z15" i="1"/>
  <c r="AF15" i="1"/>
  <c r="X16" i="1"/>
  <c r="AD16" i="1"/>
  <c r="V17" i="1"/>
  <c r="AB17" i="1"/>
  <c r="T18" i="1"/>
  <c r="Z18" i="1"/>
  <c r="AF18" i="1"/>
  <c r="X19" i="1"/>
  <c r="AD19" i="1"/>
  <c r="V20" i="1"/>
  <c r="AB20" i="1"/>
  <c r="T21" i="1"/>
  <c r="Z21" i="1"/>
  <c r="AF21" i="1"/>
  <c r="X22" i="1"/>
  <c r="AD22" i="1"/>
  <c r="V23" i="1"/>
  <c r="AB23" i="1"/>
  <c r="T24" i="1"/>
  <c r="Z24" i="1"/>
  <c r="AF24" i="1"/>
  <c r="X25" i="1"/>
  <c r="AD25" i="1"/>
  <c r="V26" i="1"/>
  <c r="AB26" i="1"/>
  <c r="T27" i="1"/>
  <c r="Z27" i="1"/>
  <c r="AF27" i="1"/>
  <c r="X28" i="1"/>
  <c r="AD28" i="1"/>
  <c r="V29" i="1"/>
  <c r="AB29" i="1"/>
  <c r="T30" i="1"/>
  <c r="Z30" i="1"/>
  <c r="AF30" i="1"/>
  <c r="X31" i="1"/>
  <c r="AD31" i="1"/>
  <c r="AT31" i="1" s="1"/>
  <c r="W2" i="1"/>
  <c r="AC2" i="1"/>
  <c r="U3" i="1"/>
  <c r="AA3" i="1"/>
  <c r="AG3" i="1"/>
  <c r="AW3" i="1" s="1"/>
  <c r="Y4" i="1"/>
  <c r="AE4" i="1"/>
  <c r="W5" i="1"/>
  <c r="AC5" i="1"/>
  <c r="U6" i="1"/>
  <c r="AA6" i="1"/>
  <c r="AG6" i="1"/>
  <c r="AW6" i="1" s="1"/>
  <c r="Y7" i="1"/>
  <c r="AE7" i="1"/>
  <c r="W8" i="1"/>
  <c r="AC8" i="1"/>
  <c r="U9" i="1"/>
  <c r="AA9" i="1"/>
  <c r="AG9" i="1"/>
  <c r="AW9" i="1" s="1"/>
  <c r="Y10" i="1"/>
  <c r="AE10" i="1"/>
  <c r="W11" i="1"/>
  <c r="AC11" i="1"/>
  <c r="U12" i="1"/>
  <c r="AA12" i="1"/>
  <c r="AG12" i="1"/>
  <c r="Y13" i="1"/>
  <c r="AE13" i="1"/>
  <c r="W14" i="1"/>
  <c r="AC14" i="1"/>
  <c r="U15" i="1"/>
  <c r="AA15" i="1"/>
  <c r="AG15" i="1"/>
  <c r="Y16" i="1"/>
  <c r="AE16" i="1"/>
  <c r="W17" i="1"/>
  <c r="AC17" i="1"/>
  <c r="U18" i="1"/>
  <c r="AA18" i="1"/>
  <c r="AG18" i="1"/>
  <c r="Y19" i="1"/>
  <c r="AE19" i="1"/>
  <c r="W20" i="1"/>
  <c r="AC20" i="1"/>
  <c r="U21" i="1"/>
  <c r="AA21" i="1"/>
  <c r="AG21" i="1"/>
  <c r="Y22" i="1"/>
  <c r="AE22" i="1"/>
  <c r="W23" i="1"/>
  <c r="AC23" i="1"/>
  <c r="U24" i="1"/>
  <c r="AA24" i="1"/>
  <c r="AG24" i="1"/>
  <c r="Y25" i="1"/>
  <c r="AE25" i="1"/>
  <c r="W26" i="1"/>
  <c r="AC26" i="1"/>
  <c r="U27" i="1"/>
  <c r="AA27" i="1"/>
  <c r="AG27" i="1"/>
  <c r="Y28" i="1"/>
  <c r="AE28" i="1"/>
  <c r="W29" i="1"/>
  <c r="AC29" i="1"/>
  <c r="U30" i="1"/>
  <c r="AA30" i="1"/>
  <c r="AG30" i="1"/>
  <c r="Y31" i="1"/>
  <c r="AO31" i="1" s="1"/>
  <c r="AE31" i="1"/>
  <c r="X2" i="1"/>
  <c r="AD2" i="1"/>
  <c r="V3" i="1"/>
  <c r="AB3" i="1"/>
  <c r="T4" i="1"/>
  <c r="Z4" i="1"/>
  <c r="AF4" i="1"/>
  <c r="X5" i="1"/>
  <c r="AD5" i="1"/>
  <c r="V6" i="1"/>
  <c r="AB6" i="1"/>
  <c r="T7" i="1"/>
  <c r="Z7" i="1"/>
  <c r="AF7" i="1"/>
  <c r="X8" i="1"/>
  <c r="AD8" i="1"/>
  <c r="V9" i="1"/>
  <c r="AB9" i="1"/>
  <c r="T10" i="1"/>
  <c r="Z10" i="1"/>
  <c r="AF10" i="1"/>
  <c r="X11" i="1"/>
  <c r="AD11" i="1"/>
  <c r="V12" i="1"/>
  <c r="AB12" i="1"/>
  <c r="T13" i="1"/>
  <c r="Z13" i="1"/>
  <c r="AF13" i="1"/>
  <c r="X14" i="1"/>
  <c r="AD14" i="1"/>
  <c r="V15" i="1"/>
  <c r="AB15" i="1"/>
  <c r="T16" i="1"/>
  <c r="Z16" i="1"/>
  <c r="AF16" i="1"/>
  <c r="X17" i="1"/>
  <c r="AD17" i="1"/>
  <c r="V18" i="1"/>
  <c r="AB18" i="1"/>
  <c r="T19" i="1"/>
  <c r="Z19" i="1"/>
  <c r="AF19" i="1"/>
  <c r="X20" i="1"/>
  <c r="AD20" i="1"/>
  <c r="V21" i="1"/>
  <c r="AB21" i="1"/>
  <c r="T22" i="1"/>
  <c r="Z22" i="1"/>
  <c r="AF22" i="1"/>
  <c r="X23" i="1"/>
  <c r="AD23" i="1"/>
  <c r="V24" i="1"/>
  <c r="AB24" i="1"/>
  <c r="T25" i="1"/>
  <c r="Z25" i="1"/>
  <c r="AF25" i="1"/>
  <c r="X26" i="1"/>
  <c r="AD26" i="1"/>
  <c r="V27" i="1"/>
  <c r="AB27" i="1"/>
  <c r="T28" i="1"/>
  <c r="Z28" i="1"/>
  <c r="AF28" i="1"/>
  <c r="X29" i="1"/>
  <c r="AD29" i="1"/>
  <c r="V30" i="1"/>
  <c r="AB30" i="1"/>
  <c r="T31" i="1"/>
  <c r="AJ31" i="1" s="1"/>
  <c r="Z31" i="1"/>
  <c r="AP31" i="1" s="1"/>
  <c r="AF31" i="1"/>
  <c r="AV31" i="1" s="1"/>
  <c r="AA16" i="1"/>
  <c r="AG16" i="1"/>
  <c r="Y17" i="1"/>
  <c r="AE17" i="1"/>
  <c r="W18" i="1"/>
  <c r="AC18" i="1"/>
  <c r="U19" i="1"/>
  <c r="AA19" i="1"/>
  <c r="AG19" i="1"/>
  <c r="Y20" i="1"/>
  <c r="AE20" i="1"/>
  <c r="W21" i="1"/>
  <c r="AC21" i="1"/>
  <c r="U22" i="1"/>
  <c r="AA22" i="1"/>
  <c r="AG22" i="1"/>
  <c r="Y23" i="1"/>
  <c r="AE23" i="1"/>
  <c r="W24" i="1"/>
  <c r="AC24" i="1"/>
  <c r="U25" i="1"/>
  <c r="AA25" i="1"/>
  <c r="AG25" i="1"/>
  <c r="Y26" i="1"/>
  <c r="AE26" i="1"/>
  <c r="W27" i="1"/>
  <c r="AC27" i="1"/>
  <c r="U28" i="1"/>
  <c r="AA28" i="1"/>
  <c r="AG28" i="1"/>
  <c r="Y29" i="1"/>
  <c r="AE29" i="1"/>
  <c r="W30" i="1"/>
  <c r="AC30" i="1"/>
  <c r="U31" i="1"/>
  <c r="AK31" i="1" s="1"/>
  <c r="AA31" i="1"/>
  <c r="AQ31" i="1" s="1"/>
  <c r="AG31" i="1"/>
  <c r="AW31" i="1" s="1"/>
  <c r="I7" i="1"/>
  <c r="I22" i="1"/>
  <c r="I27" i="1"/>
  <c r="AW8" i="1"/>
  <c r="AS31" i="1"/>
  <c r="AU31" i="1"/>
  <c r="AN31" i="1"/>
  <c r="AW7" i="1"/>
  <c r="I10" i="1"/>
  <c r="AB35" i="1"/>
  <c r="T49" i="1"/>
  <c r="AG46" i="1"/>
  <c r="T48" i="1"/>
  <c r="V51" i="1"/>
  <c r="U52" i="1"/>
  <c r="V53" i="1"/>
  <c r="Z54" i="1"/>
  <c r="AG55" i="1"/>
  <c r="AC57" i="1"/>
  <c r="Y59" i="1"/>
  <c r="AD34" i="1"/>
  <c r="AF37" i="1"/>
  <c r="AE38" i="1"/>
  <c r="AF39" i="1"/>
  <c r="T43" i="1"/>
  <c r="AG43" i="1"/>
  <c r="T45" i="1"/>
  <c r="V48" i="1"/>
  <c r="U49" i="1"/>
  <c r="V50" i="1"/>
  <c r="AD40" i="1"/>
  <c r="AC36" i="1"/>
  <c r="AF34" i="1"/>
  <c r="U46" i="1"/>
  <c r="AG37" i="1"/>
  <c r="T39" i="1"/>
  <c r="V42" i="1"/>
  <c r="U43" i="1"/>
  <c r="V44" i="1"/>
  <c r="X47" i="1"/>
  <c r="W48" i="1"/>
  <c r="X49" i="1"/>
  <c r="Z52" i="1"/>
  <c r="Y56" i="1"/>
  <c r="U58" i="1"/>
  <c r="AE59" i="1"/>
  <c r="AD38" i="1"/>
  <c r="T51" i="1"/>
  <c r="V47" i="1"/>
  <c r="U40" i="1"/>
  <c r="W45" i="1"/>
  <c r="X46" i="1"/>
  <c r="Z49" i="1"/>
  <c r="Y50" i="1"/>
  <c r="Z51" i="1"/>
  <c r="AB53" i="1"/>
  <c r="AE41" i="1"/>
  <c r="V45" i="1"/>
  <c r="V38" i="1"/>
  <c r="X43" i="1"/>
  <c r="Z46" i="1"/>
  <c r="Y47" i="1"/>
  <c r="Z48" i="1"/>
  <c r="AB51" i="1"/>
  <c r="AA52" i="1"/>
  <c r="U55" i="1"/>
  <c r="AA34" i="1"/>
  <c r="AF43" i="1"/>
  <c r="T46" i="1"/>
  <c r="AF36" i="1"/>
  <c r="Y53" i="1"/>
  <c r="T36" i="1"/>
  <c r="V41" i="1"/>
  <c r="V36" i="1"/>
  <c r="X41" i="1"/>
  <c r="U34" i="1"/>
  <c r="V35" i="1"/>
  <c r="X38" i="1"/>
  <c r="W39" i="1"/>
  <c r="X40" i="1"/>
  <c r="Z43" i="1"/>
  <c r="Y44" i="1"/>
  <c r="Z45" i="1"/>
  <c r="AB48" i="1"/>
  <c r="AA49" i="1"/>
  <c r="AB50" i="1"/>
  <c r="AE53" i="1"/>
  <c r="AE56" i="1"/>
  <c r="AA58" i="1"/>
  <c r="AF45" i="1"/>
  <c r="AD37" i="1"/>
  <c r="T40" i="1"/>
  <c r="X50" i="1"/>
  <c r="T37" i="1"/>
  <c r="U37" i="1"/>
  <c r="W42" i="1"/>
  <c r="X35" i="1"/>
  <c r="W36" i="1"/>
  <c r="X37" i="1"/>
  <c r="Z40" i="1"/>
  <c r="Y41" i="1"/>
  <c r="Z42" i="1"/>
  <c r="AB45" i="1"/>
  <c r="AA46" i="1"/>
  <c r="AB47" i="1"/>
  <c r="AD50" i="1"/>
  <c r="AC51" i="1"/>
  <c r="AD52" i="1"/>
  <c r="AE44" i="1"/>
  <c r="AF40" i="1"/>
  <c r="T42" i="1"/>
  <c r="W51" i="1"/>
  <c r="AC54" i="1"/>
  <c r="AG34" i="1"/>
  <c r="V39" i="1"/>
  <c r="Z37" i="1"/>
  <c r="Y38" i="1"/>
  <c r="Z39" i="1"/>
  <c r="AB42" i="1"/>
  <c r="AA43" i="1"/>
  <c r="AB44" i="1"/>
  <c r="AD47" i="1"/>
  <c r="AC48" i="1"/>
  <c r="AD49" i="1"/>
  <c r="AF52" i="1"/>
  <c r="T54" i="1"/>
  <c r="AA55" i="1"/>
  <c r="AC39" i="1"/>
  <c r="AD35" i="1"/>
  <c r="AE35" i="1"/>
  <c r="X52" i="1"/>
  <c r="X44" i="1"/>
  <c r="X34" i="1"/>
  <c r="Z34" i="1"/>
  <c r="Y35" i="1"/>
  <c r="Z36" i="1"/>
  <c r="AB39" i="1"/>
  <c r="AA40" i="1"/>
  <c r="AB41" i="1"/>
  <c r="AD44" i="1"/>
  <c r="AC45" i="1"/>
  <c r="AD46" i="1"/>
  <c r="AF49" i="1"/>
  <c r="AE50" i="1"/>
  <c r="AF51" i="1"/>
  <c r="W57" i="1"/>
  <c r="AG58" i="1"/>
  <c r="AG49" i="1"/>
  <c r="AF42" i="1"/>
  <c r="AG40" i="1"/>
  <c r="AB36" i="1"/>
  <c r="AA37" i="1"/>
  <c r="AB38" i="1"/>
  <c r="AD41" i="1"/>
  <c r="AC42" i="1"/>
  <c r="AD43" i="1"/>
  <c r="AF46" i="1"/>
  <c r="AE47" i="1"/>
  <c r="AF48" i="1"/>
  <c r="T52" i="1"/>
  <c r="AG52" i="1"/>
  <c r="W54" i="1"/>
  <c r="AD55" i="1"/>
  <c r="X53" i="1"/>
  <c r="AD53" i="1"/>
  <c r="V54" i="1"/>
  <c r="AB54" i="1"/>
  <c r="T55" i="1"/>
  <c r="Z55" i="1"/>
  <c r="AF55" i="1"/>
  <c r="X56" i="1"/>
  <c r="AD56" i="1"/>
  <c r="V57" i="1"/>
  <c r="AB57" i="1"/>
  <c r="T58" i="1"/>
  <c r="Z58" i="1"/>
  <c r="AF58" i="1"/>
  <c r="X59" i="1"/>
  <c r="AD59" i="1"/>
  <c r="V60" i="1"/>
  <c r="AB60" i="1"/>
  <c r="T61" i="1"/>
  <c r="Z61" i="1"/>
  <c r="AF61" i="1"/>
  <c r="X62" i="1"/>
  <c r="AD62" i="1"/>
  <c r="V63" i="1"/>
  <c r="AB63" i="1"/>
  <c r="W60" i="1"/>
  <c r="AC60" i="1"/>
  <c r="U61" i="1"/>
  <c r="AA61" i="1"/>
  <c r="AG61" i="1"/>
  <c r="Y62" i="1"/>
  <c r="AE62" i="1"/>
  <c r="W63" i="1"/>
  <c r="AC63" i="1"/>
  <c r="V34" i="1"/>
  <c r="AB34" i="1"/>
  <c r="T35" i="1"/>
  <c r="Z35" i="1"/>
  <c r="AF35" i="1"/>
  <c r="X36" i="1"/>
  <c r="AD36" i="1"/>
  <c r="V37" i="1"/>
  <c r="AB37" i="1"/>
  <c r="T38" i="1"/>
  <c r="Z38" i="1"/>
  <c r="AF38" i="1"/>
  <c r="X39" i="1"/>
  <c r="AD39" i="1"/>
  <c r="V40" i="1"/>
  <c r="AB40" i="1"/>
  <c r="T41" i="1"/>
  <c r="Z41" i="1"/>
  <c r="AF41" i="1"/>
  <c r="X42" i="1"/>
  <c r="AD42" i="1"/>
  <c r="V43" i="1"/>
  <c r="AB43" i="1"/>
  <c r="T44" i="1"/>
  <c r="Z44" i="1"/>
  <c r="AF44" i="1"/>
  <c r="X45" i="1"/>
  <c r="AD45" i="1"/>
  <c r="V46" i="1"/>
  <c r="AB46" i="1"/>
  <c r="T47" i="1"/>
  <c r="Z47" i="1"/>
  <c r="AF47" i="1"/>
  <c r="X48" i="1"/>
  <c r="AD48" i="1"/>
  <c r="V49" i="1"/>
  <c r="AB49" i="1"/>
  <c r="T50" i="1"/>
  <c r="Z50" i="1"/>
  <c r="AF50" i="1"/>
  <c r="X51" i="1"/>
  <c r="AD51" i="1"/>
  <c r="V52" i="1"/>
  <c r="AB52" i="1"/>
  <c r="T53" i="1"/>
  <c r="Z53" i="1"/>
  <c r="AF53" i="1"/>
  <c r="X54" i="1"/>
  <c r="AD54" i="1"/>
  <c r="V55" i="1"/>
  <c r="AB55" i="1"/>
  <c r="T56" i="1"/>
  <c r="Z56" i="1"/>
  <c r="AF56" i="1"/>
  <c r="X57" i="1"/>
  <c r="AD57" i="1"/>
  <c r="V58" i="1"/>
  <c r="AB58" i="1"/>
  <c r="T59" i="1"/>
  <c r="Z59" i="1"/>
  <c r="AF59" i="1"/>
  <c r="X60" i="1"/>
  <c r="AD60" i="1"/>
  <c r="V61" i="1"/>
  <c r="AB61" i="1"/>
  <c r="T62" i="1"/>
  <c r="Z62" i="1"/>
  <c r="AF62" i="1"/>
  <c r="X63" i="1"/>
  <c r="AD63" i="1"/>
  <c r="U35" i="1"/>
  <c r="Y36" i="1"/>
  <c r="W37" i="1"/>
  <c r="U38" i="1"/>
  <c r="AA38" i="1"/>
  <c r="Y39" i="1"/>
  <c r="AE39" i="1"/>
  <c r="W40" i="1"/>
  <c r="AC40" i="1"/>
  <c r="U41" i="1"/>
  <c r="AA41" i="1"/>
  <c r="AG41" i="1"/>
  <c r="Y42" i="1"/>
  <c r="AE42" i="1"/>
  <c r="W43" i="1"/>
  <c r="AC43" i="1"/>
  <c r="U44" i="1"/>
  <c r="AA44" i="1"/>
  <c r="AG44" i="1"/>
  <c r="Y45" i="1"/>
  <c r="AE45" i="1"/>
  <c r="W46" i="1"/>
  <c r="AC46" i="1"/>
  <c r="U47" i="1"/>
  <c r="AA47" i="1"/>
  <c r="AG47" i="1"/>
  <c r="Y48" i="1"/>
  <c r="AE48" i="1"/>
  <c r="W49" i="1"/>
  <c r="AC49" i="1"/>
  <c r="U50" i="1"/>
  <c r="AA50" i="1"/>
  <c r="AG50" i="1"/>
  <c r="Y51" i="1"/>
  <c r="AE51" i="1"/>
  <c r="W52" i="1"/>
  <c r="AC52" i="1"/>
  <c r="U53" i="1"/>
  <c r="AA53" i="1"/>
  <c r="AG53" i="1"/>
  <c r="Y54" i="1"/>
  <c r="AE54" i="1"/>
  <c r="W55" i="1"/>
  <c r="AC55" i="1"/>
  <c r="U56" i="1"/>
  <c r="AA56" i="1"/>
  <c r="AG56" i="1"/>
  <c r="Y57" i="1"/>
  <c r="AE57" i="1"/>
  <c r="W58" i="1"/>
  <c r="AC58" i="1"/>
  <c r="U59" i="1"/>
  <c r="AA59" i="1"/>
  <c r="AG59" i="1"/>
  <c r="Y60" i="1"/>
  <c r="AE60" i="1"/>
  <c r="W61" i="1"/>
  <c r="AC61" i="1"/>
  <c r="U62" i="1"/>
  <c r="AA62" i="1"/>
  <c r="AG62" i="1"/>
  <c r="Y63" i="1"/>
  <c r="AE63" i="1"/>
  <c r="W34" i="1"/>
  <c r="AC34" i="1"/>
  <c r="AA35" i="1"/>
  <c r="AG35" i="1"/>
  <c r="AE36" i="1"/>
  <c r="AC37" i="1"/>
  <c r="AG38" i="1"/>
  <c r="Z60" i="1"/>
  <c r="AF60" i="1"/>
  <c r="X61" i="1"/>
  <c r="AD61" i="1"/>
  <c r="V62" i="1"/>
  <c r="AB62" i="1"/>
  <c r="T63" i="1"/>
  <c r="Z63" i="1"/>
  <c r="AF63" i="1"/>
  <c r="T60" i="1"/>
  <c r="V59" i="1"/>
  <c r="AE34" i="1"/>
  <c r="AC35" i="1"/>
  <c r="AG36" i="1"/>
  <c r="W38" i="1"/>
  <c r="AA39" i="1"/>
  <c r="Y40" i="1"/>
  <c r="W41" i="1"/>
  <c r="AC41" i="1"/>
  <c r="AA42" i="1"/>
  <c r="AG42" i="1"/>
  <c r="Y43" i="1"/>
  <c r="AE43" i="1"/>
  <c r="W44" i="1"/>
  <c r="U45" i="1"/>
  <c r="AA45" i="1"/>
  <c r="AG45" i="1"/>
  <c r="Y46" i="1"/>
  <c r="AE46" i="1"/>
  <c r="W47" i="1"/>
  <c r="AC47" i="1"/>
  <c r="U48" i="1"/>
  <c r="AA48" i="1"/>
  <c r="AG48" i="1"/>
  <c r="Y49" i="1"/>
  <c r="AE49" i="1"/>
  <c r="W50" i="1"/>
  <c r="AC50" i="1"/>
  <c r="U51" i="1"/>
  <c r="AA51" i="1"/>
  <c r="AG51" i="1"/>
  <c r="Y52" i="1"/>
  <c r="AE52" i="1"/>
  <c r="W53" i="1"/>
  <c r="AC53" i="1"/>
  <c r="U54" i="1"/>
  <c r="AA54" i="1"/>
  <c r="AG54" i="1"/>
  <c r="Y55" i="1"/>
  <c r="AE55" i="1"/>
  <c r="W56" i="1"/>
  <c r="AC56" i="1"/>
  <c r="U57" i="1"/>
  <c r="AA57" i="1"/>
  <c r="AG57" i="1"/>
  <c r="Y58" i="1"/>
  <c r="AE58" i="1"/>
  <c r="W59" i="1"/>
  <c r="AC59" i="1"/>
  <c r="U60" i="1"/>
  <c r="AA60" i="1"/>
  <c r="AG60" i="1"/>
  <c r="Y61" i="1"/>
  <c r="AE61" i="1"/>
  <c r="W62" i="1"/>
  <c r="AC62" i="1"/>
  <c r="U63" i="1"/>
  <c r="AA63" i="1"/>
  <c r="AG63" i="1"/>
  <c r="AF54" i="1"/>
  <c r="X55" i="1"/>
  <c r="V56" i="1"/>
  <c r="AB56" i="1"/>
  <c r="T57" i="1"/>
  <c r="Z57" i="1"/>
  <c r="AF57" i="1"/>
  <c r="X58" i="1"/>
  <c r="AD58" i="1"/>
  <c r="AB59" i="1"/>
  <c r="Y34" i="1"/>
  <c r="W35" i="1"/>
  <c r="U36" i="1"/>
  <c r="AA36" i="1"/>
  <c r="Y37" i="1"/>
  <c r="AE37" i="1"/>
  <c r="AC38" i="1"/>
  <c r="U39" i="1"/>
  <c r="AG39" i="1"/>
  <c r="AE40" i="1"/>
  <c r="U42" i="1"/>
  <c r="AC44" i="1"/>
  <c r="I24" i="1"/>
  <c r="I31" i="1"/>
  <c r="I6" i="1"/>
  <c r="I13" i="1"/>
  <c r="AW4" i="1"/>
  <c r="I4" i="1"/>
  <c r="I11" i="1"/>
  <c r="I5" i="1"/>
  <c r="I19" i="1"/>
  <c r="I15" i="1"/>
  <c r="I25" i="1"/>
  <c r="I18" i="1"/>
  <c r="I14" i="1"/>
  <c r="I29" i="1"/>
  <c r="I16" i="1"/>
  <c r="I23" i="1"/>
  <c r="I28" i="1"/>
  <c r="I2" i="1"/>
  <c r="I8" i="1"/>
  <c r="I12" i="1"/>
  <c r="I20" i="1"/>
  <c r="I26" i="1"/>
  <c r="I17" i="1"/>
  <c r="L48" i="1"/>
  <c r="L62" i="1" s="1"/>
  <c r="L59" i="1"/>
  <c r="L73" i="1" s="1"/>
  <c r="N59" i="1"/>
  <c r="N73" i="1" s="1"/>
  <c r="M59" i="1"/>
  <c r="M73" i="1" s="1"/>
  <c r="O59" i="1"/>
  <c r="O73" i="1" s="1"/>
  <c r="Q59" i="1"/>
  <c r="Q73" i="1" s="1"/>
  <c r="P59" i="1"/>
  <c r="P73" i="1" s="1"/>
  <c r="L58" i="1"/>
  <c r="L72" i="1" s="1"/>
  <c r="N58" i="1"/>
  <c r="N72" i="1" s="1"/>
  <c r="M58" i="1"/>
  <c r="M72" i="1" s="1"/>
  <c r="O58" i="1"/>
  <c r="O72" i="1" s="1"/>
  <c r="P58" i="1"/>
  <c r="P72" i="1" s="1"/>
  <c r="Q58" i="1"/>
  <c r="Q72" i="1" s="1"/>
  <c r="L57" i="1"/>
  <c r="L71" i="1" s="1"/>
  <c r="M57" i="1"/>
  <c r="M71" i="1" s="1"/>
  <c r="P57" i="1"/>
  <c r="P71" i="1" s="1"/>
  <c r="N57" i="1"/>
  <c r="N71" i="1" s="1"/>
  <c r="Q57" i="1"/>
  <c r="Q71" i="1" s="1"/>
  <c r="O57" i="1"/>
  <c r="O71" i="1" s="1"/>
  <c r="M56" i="1"/>
  <c r="M70" i="1" s="1"/>
  <c r="L56" i="1"/>
  <c r="L70" i="1" s="1"/>
  <c r="O56" i="1"/>
  <c r="O70" i="1" s="1"/>
  <c r="N56" i="1"/>
  <c r="N70" i="1" s="1"/>
  <c r="Q56" i="1"/>
  <c r="Q70" i="1" s="1"/>
  <c r="P56" i="1"/>
  <c r="P70" i="1" s="1"/>
  <c r="L55" i="1"/>
  <c r="L69" i="1" s="1"/>
  <c r="M55" i="1"/>
  <c r="M69" i="1" s="1"/>
  <c r="P55" i="1"/>
  <c r="P69" i="1" s="1"/>
  <c r="N55" i="1"/>
  <c r="N69" i="1" s="1"/>
  <c r="Q55" i="1"/>
  <c r="Q69" i="1" s="1"/>
  <c r="O55" i="1"/>
  <c r="O69" i="1" s="1"/>
  <c r="L54" i="1"/>
  <c r="L68" i="1" s="1"/>
  <c r="M54" i="1"/>
  <c r="M68" i="1" s="1"/>
  <c r="N54" i="1"/>
  <c r="N68" i="1" s="1"/>
  <c r="O54" i="1"/>
  <c r="O68" i="1" s="1"/>
  <c r="Q54" i="1"/>
  <c r="Q68" i="1" s="1"/>
  <c r="P54" i="1"/>
  <c r="P68" i="1" s="1"/>
  <c r="L53" i="1"/>
  <c r="L67" i="1" s="1"/>
  <c r="M53" i="1"/>
  <c r="M67" i="1" s="1"/>
  <c r="P53" i="1"/>
  <c r="P67" i="1" s="1"/>
  <c r="O53" i="1"/>
  <c r="O67" i="1" s="1"/>
  <c r="Q53" i="1"/>
  <c r="Q67" i="1" s="1"/>
  <c r="N53" i="1"/>
  <c r="N67" i="1" s="1"/>
  <c r="L52" i="1"/>
  <c r="L66" i="1" s="1"/>
  <c r="N52" i="1"/>
  <c r="N66" i="1" s="1"/>
  <c r="M52" i="1"/>
  <c r="M66" i="1" s="1"/>
  <c r="O52" i="1"/>
  <c r="O66" i="1" s="1"/>
  <c r="Q52" i="1"/>
  <c r="Q66" i="1" s="1"/>
  <c r="P52" i="1"/>
  <c r="P66" i="1" s="1"/>
  <c r="L51" i="1"/>
  <c r="L65" i="1" s="1"/>
  <c r="O51" i="1"/>
  <c r="O65" i="1" s="1"/>
  <c r="N51" i="1"/>
  <c r="N65" i="1" s="1"/>
  <c r="P51" i="1"/>
  <c r="P65" i="1" s="1"/>
  <c r="M51" i="1"/>
  <c r="M65" i="1" s="1"/>
  <c r="Q51" i="1"/>
  <c r="Q65" i="1" s="1"/>
  <c r="N50" i="1"/>
  <c r="N64" i="1" s="1"/>
  <c r="M50" i="1"/>
  <c r="M64" i="1" s="1"/>
  <c r="O50" i="1"/>
  <c r="O64" i="1" s="1"/>
  <c r="Q50" i="1"/>
  <c r="Q64" i="1" s="1"/>
  <c r="L50" i="1"/>
  <c r="L64" i="1" s="1"/>
  <c r="P50" i="1"/>
  <c r="P64" i="1" s="1"/>
  <c r="L49" i="1"/>
  <c r="L63" i="1" s="1"/>
  <c r="M49" i="1"/>
  <c r="M63" i="1" s="1"/>
  <c r="P49" i="1"/>
  <c r="P63" i="1" s="1"/>
  <c r="O49" i="1"/>
  <c r="O63" i="1" s="1"/>
  <c r="Q49" i="1"/>
  <c r="Q63" i="1" s="1"/>
  <c r="N49" i="1"/>
  <c r="N63" i="1" s="1"/>
  <c r="Q48" i="1"/>
  <c r="Q62" i="1" s="1"/>
  <c r="P48" i="1"/>
  <c r="P62" i="1" s="1"/>
  <c r="O48" i="1"/>
  <c r="O62" i="1" s="1"/>
  <c r="N48" i="1"/>
  <c r="N62" i="1" s="1"/>
  <c r="M48" i="1"/>
  <c r="M62" i="1" s="1"/>
  <c r="J57" i="1" l="1"/>
  <c r="J55" i="1"/>
  <c r="J48" i="1"/>
  <c r="J52" i="1"/>
  <c r="J53" i="1"/>
  <c r="J51" i="1"/>
  <c r="J59" i="1"/>
  <c r="J58" i="1"/>
  <c r="J54" i="1"/>
  <c r="J56" i="1"/>
  <c r="J49" i="1"/>
  <c r="J50" i="1"/>
  <c r="AO6" i="1" l="1"/>
  <c r="AM9" i="1"/>
  <c r="AV14" i="1"/>
  <c r="AU17" i="1"/>
  <c r="AU15" i="1"/>
  <c r="AK5" i="1"/>
  <c r="AU9" i="1"/>
  <c r="AR6" i="1"/>
  <c r="AN28" i="1"/>
  <c r="AP9" i="1"/>
  <c r="AS16" i="1"/>
  <c r="AP17" i="1"/>
  <c r="AR11" i="1"/>
  <c r="AV27" i="1"/>
  <c r="AU30" i="1"/>
  <c r="AS25" i="1"/>
  <c r="AU5" i="1"/>
  <c r="AR8" i="1"/>
  <c r="AP23" i="1"/>
  <c r="AS12" i="1"/>
  <c r="AN27" i="1"/>
  <c r="AM15" i="1"/>
  <c r="AU8" i="1"/>
  <c r="AL4" i="1"/>
  <c r="AL3" i="1"/>
  <c r="AV5" i="1"/>
  <c r="AO5" i="1"/>
  <c r="AN16" i="1"/>
  <c r="AN14" i="1"/>
  <c r="AP30" i="1"/>
  <c r="AJ24" i="1"/>
  <c r="AL19" i="1"/>
  <c r="AR17" i="1"/>
  <c r="AK3" i="1"/>
  <c r="AJ16" i="1"/>
  <c r="AJ13" i="1"/>
  <c r="AS2" i="1"/>
  <c r="AR3" i="1"/>
  <c r="AS19" i="1"/>
  <c r="AK12" i="1"/>
  <c r="AL16" i="1"/>
  <c r="AS21" i="1"/>
  <c r="AK15" i="1"/>
  <c r="AM24" i="1"/>
  <c r="AM11" i="1"/>
  <c r="AK6" i="1"/>
  <c r="AP3" i="1"/>
  <c r="AL7" i="1"/>
  <c r="AT4" i="1"/>
  <c r="AO19" i="1"/>
  <c r="AR29" i="1"/>
  <c r="AP15" i="1"/>
  <c r="AT12" i="1"/>
  <c r="AS11" i="1"/>
  <c r="AL11" i="1"/>
  <c r="AW13" i="1"/>
  <c r="AQ12" i="1"/>
  <c r="AQ14" i="1"/>
  <c r="AK14" i="1"/>
  <c r="AJ30" i="1"/>
  <c r="AR14" i="1"/>
  <c r="AR22" i="1"/>
  <c r="AR2" i="1"/>
  <c r="AM4" i="1"/>
  <c r="AN21" i="1"/>
  <c r="AN2" i="1"/>
  <c r="AO12" i="1"/>
  <c r="AQ4" i="1"/>
  <c r="AW22" i="1"/>
  <c r="AU4" i="1"/>
  <c r="AJ7" i="1"/>
  <c r="AS29" i="1"/>
  <c r="AM19" i="1"/>
  <c r="AM5" i="1"/>
  <c r="AU23" i="1"/>
  <c r="AL10" i="1"/>
  <c r="AS23" i="1"/>
  <c r="AJ18" i="1"/>
  <c r="AS13" i="1"/>
  <c r="AR24" i="1"/>
  <c r="AP10" i="1"/>
  <c r="AV15" i="1"/>
  <c r="AL24" i="1"/>
  <c r="AV24" i="1"/>
  <c r="AV25" i="1"/>
  <c r="AP4" i="1"/>
  <c r="AM25" i="1"/>
  <c r="AM22" i="1"/>
  <c r="AQ6" i="1"/>
  <c r="AQ29" i="1"/>
  <c r="AQ9" i="1"/>
  <c r="AW17" i="1"/>
  <c r="AT6" i="1"/>
  <c r="AS4" i="1"/>
  <c r="AJ12" i="1"/>
  <c r="AO20" i="1"/>
  <c r="AS15" i="1"/>
  <c r="AU20" i="1"/>
  <c r="AS10" i="1"/>
  <c r="AT16" i="1"/>
  <c r="AV28" i="1"/>
  <c r="AQ24" i="1"/>
  <c r="AQ26" i="1"/>
  <c r="AW23" i="1"/>
  <c r="AT28" i="1"/>
  <c r="AK10" i="1"/>
  <c r="AQ19" i="1"/>
  <c r="AW16" i="1"/>
  <c r="AW5" i="1"/>
  <c r="AN26" i="1"/>
  <c r="AK23" i="1"/>
  <c r="AJ26" i="1"/>
  <c r="AP20" i="1"/>
  <c r="AR7" i="1"/>
  <c r="AR10" i="1"/>
  <c r="AU2" i="1"/>
  <c r="AK19" i="1"/>
  <c r="AN3" i="1"/>
  <c r="AW19" i="1"/>
  <c r="AN29" i="1"/>
  <c r="AK4" i="1"/>
  <c r="AO30" i="1"/>
  <c r="AQ27" i="1"/>
  <c r="AS17" i="1"/>
  <c r="AN13" i="1"/>
  <c r="AR30" i="1"/>
  <c r="AV4" i="1"/>
  <c r="AR5" i="1"/>
  <c r="AL15" i="1"/>
  <c r="AV26" i="1"/>
  <c r="AN15" i="1"/>
  <c r="AT18" i="1"/>
  <c r="AU16" i="1"/>
  <c r="AQ15" i="1"/>
  <c r="AN6" i="1"/>
  <c r="AT9" i="1"/>
  <c r="AV30" i="1"/>
  <c r="AV16" i="1"/>
  <c r="AM10" i="1"/>
  <c r="AK17" i="1"/>
  <c r="AV13" i="1"/>
  <c r="AN25" i="1"/>
  <c r="AP27" i="1"/>
  <c r="AT10" i="1"/>
  <c r="AT5" i="1"/>
  <c r="AM30" i="1"/>
  <c r="AV19" i="1"/>
  <c r="AJ29" i="1"/>
  <c r="AP21" i="1"/>
  <c r="AT23" i="1"/>
  <c r="AP8" i="1"/>
  <c r="AR12" i="1"/>
  <c r="AU6" i="1"/>
  <c r="AT26" i="1"/>
  <c r="AO24" i="1"/>
  <c r="AU13" i="1"/>
  <c r="AR20" i="1"/>
  <c r="AW12" i="1"/>
  <c r="AL5" i="1"/>
  <c r="AM14" i="1"/>
  <c r="AT7" i="1"/>
  <c r="AO8" i="1"/>
  <c r="AM13" i="1"/>
  <c r="AU10" i="1"/>
  <c r="AL23" i="1"/>
  <c r="AK30" i="1"/>
  <c r="AU27" i="1"/>
  <c r="AM18" i="1"/>
  <c r="AJ17" i="1"/>
  <c r="AP19" i="1"/>
  <c r="AS28" i="1"/>
  <c r="AK16" i="1"/>
  <c r="AU29" i="1"/>
  <c r="AW26" i="1"/>
  <c r="AL9" i="1"/>
  <c r="AT20" i="1"/>
  <c r="AR18" i="1"/>
  <c r="AJ5" i="1"/>
  <c r="AR9" i="1"/>
  <c r="AW10" i="1"/>
  <c r="AO15" i="1"/>
  <c r="AJ21" i="1"/>
  <c r="AV20" i="1"/>
  <c r="AJ19" i="1"/>
  <c r="AN17" i="1"/>
  <c r="AO9" i="1"/>
  <c r="AS5" i="1"/>
  <c r="AQ10" i="1"/>
  <c r="AS9" i="1"/>
  <c r="AL21" i="1"/>
  <c r="AQ17" i="1"/>
  <c r="AK28" i="1"/>
  <c r="AN18" i="1"/>
  <c r="AQ2" i="1"/>
  <c r="AN4" i="1"/>
  <c r="AJ25" i="1"/>
  <c r="AJ11" i="1"/>
  <c r="AP18" i="1"/>
  <c r="AN30" i="1"/>
  <c r="AW25" i="1"/>
  <c r="AV23" i="1"/>
  <c r="AL17" i="1"/>
  <c r="AM26" i="1"/>
  <c r="AS22" i="1"/>
  <c r="AQ16" i="1"/>
  <c r="AJ23" i="1"/>
  <c r="AP26" i="1"/>
  <c r="AV29" i="1"/>
  <c r="AO23" i="1"/>
  <c r="AL20" i="1"/>
  <c r="AL18" i="1"/>
  <c r="AJ15" i="1"/>
  <c r="AO11" i="1"/>
  <c r="AW28" i="1"/>
  <c r="AO21" i="1"/>
  <c r="AN7" i="1"/>
  <c r="AT30" i="1"/>
  <c r="AS14" i="1"/>
  <c r="AP22" i="1"/>
  <c r="AN8" i="1"/>
  <c r="AQ13" i="1"/>
  <c r="AM12" i="1"/>
  <c r="AQ8" i="1"/>
  <c r="AM28" i="1"/>
  <c r="AP13" i="1"/>
  <c r="AM27" i="1"/>
  <c r="AU25" i="1"/>
  <c r="AT3" i="1"/>
  <c r="AW14" i="1"/>
  <c r="AN9" i="1"/>
  <c r="AW20" i="1"/>
  <c r="AM7" i="1"/>
  <c r="AR13" i="1"/>
  <c r="AP25" i="1"/>
  <c r="AV7" i="1"/>
  <c r="AV21" i="1"/>
  <c r="AW18" i="1"/>
  <c r="AS3" i="1"/>
  <c r="AQ5" i="1"/>
  <c r="AN20" i="1"/>
  <c r="AR23" i="1"/>
  <c r="AP12" i="1"/>
  <c r="AL28" i="1"/>
  <c r="AU21" i="1"/>
  <c r="AV2" i="1"/>
  <c r="AN24" i="1"/>
  <c r="AO18" i="1"/>
  <c r="AS8" i="1"/>
  <c r="AM3" i="1"/>
  <c r="AK9" i="1"/>
  <c r="AN12" i="1"/>
  <c r="AV10" i="1"/>
  <c r="AO13" i="1"/>
  <c r="AT19" i="1"/>
  <c r="AP24" i="1"/>
  <c r="AN5" i="1"/>
  <c r="AR27" i="1"/>
  <c r="AT25" i="1"/>
  <c r="AS7" i="1"/>
  <c r="AQ20" i="1"/>
  <c r="AK29" i="1"/>
  <c r="AM6" i="1"/>
  <c r="AP29" i="1"/>
  <c r="AO29" i="1"/>
  <c r="AK22" i="1"/>
  <c r="AL2" i="1"/>
  <c r="AJ10" i="1"/>
  <c r="AS20" i="1"/>
  <c r="AL26" i="1"/>
  <c r="AW30" i="1"/>
  <c r="AO17" i="1"/>
  <c r="AT15" i="1"/>
  <c r="AT27" i="1"/>
  <c r="AK13" i="1"/>
  <c r="AT21" i="1"/>
  <c r="AO26" i="1"/>
  <c r="AJ4" i="1"/>
  <c r="AU24" i="1"/>
  <c r="AK26" i="1"/>
  <c r="AR26" i="1"/>
  <c r="AO27" i="1"/>
  <c r="AQ21" i="1"/>
  <c r="AT29" i="1"/>
  <c r="AL25" i="1"/>
  <c r="AW21" i="1"/>
  <c r="AN10" i="1"/>
  <c r="AL6" i="1"/>
  <c r="AQ7" i="1"/>
  <c r="AP2" i="1"/>
  <c r="AS30" i="1"/>
  <c r="AK7" i="1"/>
  <c r="AL8" i="1"/>
  <c r="AJ27" i="1"/>
  <c r="AP14" i="1"/>
  <c r="AP16" i="1"/>
  <c r="AU28" i="1"/>
  <c r="AV8" i="1"/>
  <c r="AJ22" i="1"/>
  <c r="AO4" i="1"/>
  <c r="AJ8" i="1"/>
  <c r="AR16" i="1"/>
  <c r="AK20" i="1"/>
  <c r="AS27" i="1"/>
  <c r="AJ28" i="1"/>
  <c r="AL14" i="1"/>
  <c r="AP28" i="1"/>
  <c r="AT14" i="1"/>
  <c r="AN11" i="1"/>
  <c r="AQ3" i="1"/>
  <c r="AO25" i="1"/>
  <c r="AU14" i="1"/>
  <c r="AL29" i="1"/>
  <c r="AV22" i="1"/>
  <c r="AJ14" i="1"/>
  <c r="AW11" i="1"/>
  <c r="AS24" i="1"/>
  <c r="AK21" i="1"/>
  <c r="AK25" i="1"/>
  <c r="AR4" i="1"/>
  <c r="AL30" i="1"/>
  <c r="AO2" i="1"/>
  <c r="AT13" i="1"/>
  <c r="AM20" i="1"/>
  <c r="AL27" i="1"/>
  <c r="AR25" i="1"/>
  <c r="AU7" i="1"/>
  <c r="AU26" i="1"/>
  <c r="AR19" i="1"/>
  <c r="AT17" i="1"/>
  <c r="AO16" i="1"/>
  <c r="AN22" i="1"/>
  <c r="AV6" i="1"/>
  <c r="AO10" i="1"/>
  <c r="AQ30" i="1"/>
  <c r="AK18" i="1"/>
  <c r="AK11" i="1"/>
  <c r="AT11" i="1"/>
  <c r="AN19" i="1"/>
  <c r="AV17" i="1"/>
  <c r="AJ9" i="1"/>
  <c r="AO22" i="1"/>
  <c r="AU19" i="1"/>
  <c r="AV18" i="1"/>
  <c r="AU11" i="1"/>
  <c r="AS26" i="1"/>
  <c r="AP5" i="1"/>
  <c r="AK2" i="1"/>
  <c r="AV12" i="1"/>
  <c r="AS18" i="1"/>
  <c r="AQ28" i="1"/>
  <c r="AK27" i="1"/>
  <c r="AO7" i="1"/>
  <c r="AW29" i="1"/>
  <c r="AO28" i="1"/>
  <c r="AJ20" i="1"/>
  <c r="AJ6" i="1"/>
  <c r="AW24" i="1"/>
  <c r="AV9" i="1"/>
  <c r="AQ18" i="1"/>
  <c r="AL13" i="1"/>
  <c r="AT24" i="1"/>
  <c r="AQ22" i="1"/>
  <c r="AU3" i="1"/>
  <c r="AS6" i="1"/>
  <c r="AM23" i="1"/>
  <c r="AP6" i="1"/>
  <c r="AU18" i="1"/>
  <c r="AW15" i="1"/>
  <c r="AO3" i="1"/>
  <c r="AL12" i="1"/>
  <c r="AO14" i="1"/>
  <c r="AM29" i="1"/>
  <c r="AJ3" i="1"/>
  <c r="AP11" i="1"/>
  <c r="AU12" i="1"/>
  <c r="AW27" i="1"/>
  <c r="AN23" i="1"/>
  <c r="AQ11" i="1"/>
  <c r="AT2" i="1"/>
  <c r="AM2" i="1"/>
  <c r="AU22" i="1"/>
  <c r="AR15" i="1"/>
  <c r="AR21" i="1"/>
  <c r="AR28" i="1"/>
  <c r="AQ25" i="1"/>
  <c r="AT22" i="1"/>
  <c r="AT8" i="1"/>
  <c r="AM21" i="1"/>
  <c r="AM16" i="1"/>
  <c r="AQ23" i="1"/>
  <c r="AV11" i="1"/>
  <c r="AP7" i="1"/>
  <c r="AK8" i="1"/>
  <c r="AV3" i="1"/>
  <c r="AM8" i="1"/>
  <c r="AL22" i="1"/>
  <c r="AM17" i="1"/>
  <c r="AK24" i="1"/>
  <c r="B11" i="1" l="1"/>
  <c r="B31" i="1"/>
  <c r="B15" i="1"/>
  <c r="B16" i="1"/>
  <c r="B27" i="1"/>
  <c r="B12" i="1"/>
  <c r="B20" i="1"/>
  <c r="B29" i="1"/>
  <c r="B18" i="1"/>
  <c r="B24" i="1"/>
  <c r="B28" i="1"/>
  <c r="B19" i="1"/>
  <c r="B14" i="1"/>
  <c r="B22" i="1"/>
  <c r="B26" i="1"/>
  <c r="B9" i="1"/>
  <c r="B5" i="1"/>
  <c r="B17" i="1"/>
  <c r="B2" i="1"/>
  <c r="B3" i="1"/>
  <c r="B23" i="1"/>
  <c r="B21" i="1"/>
  <c r="B25" i="1"/>
  <c r="B4" i="1"/>
  <c r="B10" i="1"/>
  <c r="B6" i="1"/>
  <c r="B7" i="1"/>
  <c r="B30" i="1"/>
  <c r="B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A7D7262-BFE9-4E17-BEB7-75B2602CA736}" keepAlive="1" name="Query - min recoils" description="Connection to the 'min recoils' query in the workbook." type="5" refreshedVersion="6" background="1">
    <dbPr connection="Provider=Microsoft.Mashup.OleDb.1;Data Source=$Workbook$;Location=&quot;min recoils&quot;;Extended Properties=&quot;&quot;" command="SELECT * FROM [min recoil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<sst xmlns="http://schemas.openxmlformats.org/spreadsheetml/2006/main" count="319" uniqueCount="197">
  <si>
    <t>Weapon</t>
  </si>
  <si>
    <t xml:space="preserve"> Horizontal</t>
  </si>
  <si>
    <t xml:space="preserve"> Overall</t>
  </si>
  <si>
    <t xml:space="preserve"> Caliber</t>
  </si>
  <si>
    <t xml:space="preserve"> Fire-Mode</t>
  </si>
  <si>
    <t xml:space="preserve"> Fire-Rate</t>
  </si>
  <si>
    <t xml:space="preserve"> Price</t>
  </si>
  <si>
    <t>M1A</t>
  </si>
  <si>
    <t xml:space="preserve"> 7.62x51mm NATO</t>
  </si>
  <si>
    <t xml:space="preserve"> Semi</t>
  </si>
  <si>
    <t>SA-58</t>
  </si>
  <si>
    <t xml:space="preserve"> Full-Auto</t>
  </si>
  <si>
    <t>AS VAL</t>
  </si>
  <si>
    <t xml:space="preserve"> 9x39mm</t>
  </si>
  <si>
    <t>M4A1</t>
  </si>
  <si>
    <t>RPK-16</t>
  </si>
  <si>
    <t xml:space="preserve"> 5.45x39mm</t>
  </si>
  <si>
    <t>HK 416A5</t>
  </si>
  <si>
    <t>TX-15 DML</t>
  </si>
  <si>
    <t>DT MDR 5.56x45</t>
  </si>
  <si>
    <t>DT MDR .308</t>
  </si>
  <si>
    <t>AK-103</t>
  </si>
  <si>
    <t xml:space="preserve"> 7.62x39mm</t>
  </si>
  <si>
    <t>Vepr KM VPO-136</t>
  </si>
  <si>
    <t>AKMN</t>
  </si>
  <si>
    <t>OP-SKS</t>
  </si>
  <si>
    <t>Remington R11 RSASS</t>
  </si>
  <si>
    <t>SVDS</t>
  </si>
  <si>
    <t xml:space="preserve"> 7.62x54mmR</t>
  </si>
  <si>
    <t>TDI KRISS Vector Gen.2</t>
  </si>
  <si>
    <t xml:space="preserve"> .45 ACP</t>
  </si>
  <si>
    <t>SIG MPX</t>
  </si>
  <si>
    <t>B&amp;T MP9</t>
  </si>
  <si>
    <t>FN P90</t>
  </si>
  <si>
    <t>HK UMP 45</t>
  </si>
  <si>
    <t>HK MP5</t>
  </si>
  <si>
    <t>HK MP7A2</t>
  </si>
  <si>
    <t>PP-19-01 Vityaz-SN</t>
  </si>
  <si>
    <t>Saiga-9</t>
  </si>
  <si>
    <t>ASh-12</t>
  </si>
  <si>
    <t>Kel-Tec RFB</t>
  </si>
  <si>
    <t>Vepr AKM VPO-209</t>
  </si>
  <si>
    <t xml:space="preserve"> .366 TKM</t>
  </si>
  <si>
    <t>SIG MCX</t>
  </si>
  <si>
    <t>Semi</t>
  </si>
  <si>
    <t>4 [C]</t>
  </si>
  <si>
    <t>10 [S]</t>
  </si>
  <si>
    <t>8 [A]</t>
  </si>
  <si>
    <t>6 [B]</t>
  </si>
  <si>
    <t>2 [D]</t>
  </si>
  <si>
    <t>0 [E]</t>
  </si>
  <si>
    <t xml:space="preserve"> -2 [F]</t>
  </si>
  <si>
    <t>Ergonomics</t>
  </si>
  <si>
    <t xml:space="preserve"> Original Vertical</t>
  </si>
  <si>
    <t>Original Horizontal</t>
  </si>
  <si>
    <t xml:space="preserve"> Original Overall</t>
  </si>
  <si>
    <t>Original Ergonomics</t>
  </si>
  <si>
    <t>Difference</t>
  </si>
  <si>
    <t>0-35</t>
  </si>
  <si>
    <t xml:space="preserve">36-50 </t>
  </si>
  <si>
    <t>51-75</t>
  </si>
  <si>
    <t>76-100</t>
  </si>
  <si>
    <t>101-125</t>
  </si>
  <si>
    <t>126-150</t>
  </si>
  <si>
    <t>150+</t>
  </si>
  <si>
    <t>0-100</t>
  </si>
  <si>
    <t>101-150</t>
  </si>
  <si>
    <t>151-200</t>
  </si>
  <si>
    <t>0-150</t>
  </si>
  <si>
    <t>201-250</t>
  </si>
  <si>
    <t>251-300</t>
  </si>
  <si>
    <t>251-275</t>
  </si>
  <si>
    <t>276-300</t>
  </si>
  <si>
    <t>300+</t>
  </si>
  <si>
    <t>301-350</t>
  </si>
  <si>
    <t>351-400</t>
  </si>
  <si>
    <t>400+</t>
  </si>
  <si>
    <t>80-100</t>
  </si>
  <si>
    <t>60-79</t>
  </si>
  <si>
    <t>40-59</t>
  </si>
  <si>
    <t>20-39</t>
  </si>
  <si>
    <t>0-19</t>
  </si>
  <si>
    <t>20-29</t>
  </si>
  <si>
    <t>10-19</t>
  </si>
  <si>
    <t>0-9</t>
  </si>
  <si>
    <t>(-10) - (-1)</t>
  </si>
  <si>
    <t>(-20) - (-11)</t>
  </si>
  <si>
    <t>(-30) - (-21)</t>
  </si>
  <si>
    <t>High</t>
  </si>
  <si>
    <t>Good</t>
  </si>
  <si>
    <t>Medium</t>
  </si>
  <si>
    <t>Low</t>
  </si>
  <si>
    <t>Trash</t>
  </si>
  <si>
    <t>Full-Auto</t>
  </si>
  <si>
    <t>Bolt-Action</t>
  </si>
  <si>
    <t>800+</t>
  </si>
  <si>
    <t>700-799</t>
  </si>
  <si>
    <t>550-599</t>
  </si>
  <si>
    <t>30+</t>
  </si>
  <si>
    <t>650-699</t>
  </si>
  <si>
    <t>600-649</t>
  </si>
  <si>
    <t>500-549</t>
  </si>
  <si>
    <t>&lt;500</t>
  </si>
  <si>
    <t>0-200000</t>
  </si>
  <si>
    <t>200001 - 250000</t>
  </si>
  <si>
    <t>250001 - 300000</t>
  </si>
  <si>
    <t>300001 - 400000</t>
  </si>
  <si>
    <t>400001 - 450000</t>
  </si>
  <si>
    <t>450001 - 500000</t>
  </si>
  <si>
    <t>500000+</t>
  </si>
  <si>
    <t>80+</t>
  </si>
  <si>
    <t>70-79</t>
  </si>
  <si>
    <t>60-69</t>
  </si>
  <si>
    <t>50-59</t>
  </si>
  <si>
    <t>40-49</t>
  </si>
  <si>
    <t>30-39</t>
  </si>
  <si>
    <t>&lt;30</t>
  </si>
  <si>
    <t>Percentage difference %</t>
  </si>
  <si>
    <t>Glock 18C</t>
  </si>
  <si>
    <t>Penetrates up to level 6</t>
  </si>
  <si>
    <t>Penetrates up to level 5</t>
  </si>
  <si>
    <t>Penetrates up to level 4</t>
  </si>
  <si>
    <t>Penetrates up to level 3</t>
  </si>
  <si>
    <t>Penetrates up to level 2</t>
  </si>
  <si>
    <t>Penetrates up to level 1</t>
  </si>
  <si>
    <t>Doesn't penetrate</t>
  </si>
  <si>
    <t>Column1</t>
  </si>
  <si>
    <t>(Wiki page effectivenes 5+)</t>
  </si>
  <si>
    <t>Best ammo</t>
  </si>
  <si>
    <t xml:space="preserve"> .300 AAC Blackout AP</t>
  </si>
  <si>
    <t xml:space="preserve"> .300 BPZ AAC Blackout</t>
  </si>
  <si>
    <t xml:space="preserve"> .366 AP</t>
  </si>
  <si>
    <t xml:space="preserve"> .366 TKM EKO</t>
  </si>
  <si>
    <t xml:space="preserve"> .366 TKM FMJ</t>
  </si>
  <si>
    <t xml:space="preserve"> .300 AAC Blackout</t>
  </si>
  <si>
    <t xml:space="preserve"> 4.6x30mm HK</t>
  </si>
  <si>
    <t xml:space="preserve"> 12.7x55mm STs-130</t>
  </si>
  <si>
    <t xml:space="preserve"> 5.7x28mm FN</t>
  </si>
  <si>
    <t xml:space="preserve"> 5.56x45mm NATO</t>
  </si>
  <si>
    <t xml:space="preserve"> 9x19mm Parabellum</t>
  </si>
  <si>
    <t xml:space="preserve"> .45 ACP AP</t>
  </si>
  <si>
    <t xml:space="preserve"> .45 ACP FMJ</t>
  </si>
  <si>
    <t xml:space="preserve"> .45 ACP Lasermatch FMJ</t>
  </si>
  <si>
    <t xml:space="preserve"> 12.7x55mm PS12B</t>
  </si>
  <si>
    <t xml:space="preserve"> 12.7x55mm PS12</t>
  </si>
  <si>
    <t xml:space="preserve"> 12.7x55mm PS12A</t>
  </si>
  <si>
    <t xml:space="preserve"> 4.6x30mm AP SX</t>
  </si>
  <si>
    <t xml:space="preserve"> 4.6x30mm FMJ SX</t>
  </si>
  <si>
    <t xml:space="preserve"> 4.6x30mm Subsonic SX</t>
  </si>
  <si>
    <t xml:space="preserve"> 5.45x39mm BS</t>
  </si>
  <si>
    <t xml:space="preserve"> 5.45x39mm BT</t>
  </si>
  <si>
    <t xml:space="preserve"> 5.56x45mm M995</t>
  </si>
  <si>
    <t xml:space="preserve"> 5.56x45mm M855A1</t>
  </si>
  <si>
    <t xml:space="preserve"> 5.56x45mm M856A1</t>
  </si>
  <si>
    <t xml:space="preserve"> 5.7x28mm SS190</t>
  </si>
  <si>
    <t xml:space="preserve"> 5.7x28mm SB193</t>
  </si>
  <si>
    <t xml:space="preserve"> 5.7x28mm L191</t>
  </si>
  <si>
    <t xml:space="preserve"> 7.62x39mm BP</t>
  </si>
  <si>
    <t xml:space="preserve"> 7.62x39mm PS</t>
  </si>
  <si>
    <t xml:space="preserve"> 7.62x39mm T45M</t>
  </si>
  <si>
    <t xml:space="preserve"> 7.62x51mm M993</t>
  </si>
  <si>
    <t xml:space="preserve"> 7.62x51mm M61</t>
  </si>
  <si>
    <t xml:space="preserve"> 7.62x51mm M62</t>
  </si>
  <si>
    <t xml:space="preserve"> 7.62x54mmR 7N37</t>
  </si>
  <si>
    <t xml:space="preserve"> 5.45x39mm 7N39 "Igolnik"</t>
  </si>
  <si>
    <t xml:space="preserve"> 7.62x54mmR SNB</t>
  </si>
  <si>
    <t xml:space="preserve"> 7.62x54mmR 7BT1</t>
  </si>
  <si>
    <t xml:space="preserve"> 9x19mm 7N31</t>
  </si>
  <si>
    <t xml:space="preserve"> 9x19mm AP 6.3</t>
  </si>
  <si>
    <t xml:space="preserve"> 9x19mm Pst gzh</t>
  </si>
  <si>
    <t xml:space="preserve"> 9x39mm 7N12 BP</t>
  </si>
  <si>
    <t xml:space="preserve"> 9x39mm 7N9 SPP</t>
  </si>
  <si>
    <t xml:space="preserve"> 9x39mm SP-6</t>
  </si>
  <si>
    <t>Caliber</t>
  </si>
  <si>
    <t>2nd best ammo</t>
  </si>
  <si>
    <t>3rd best ammo</t>
  </si>
  <si>
    <t>Best ammo damage</t>
  </si>
  <si>
    <t>2nd best ammo damage</t>
  </si>
  <si>
    <t>3rd best ammo damage</t>
  </si>
  <si>
    <t>75-84</t>
  </si>
  <si>
    <t>65-74</t>
  </si>
  <si>
    <t>55-64</t>
  </si>
  <si>
    <t>45-54</t>
  </si>
  <si>
    <t>35-44</t>
  </si>
  <si>
    <t>&lt;35</t>
  </si>
  <si>
    <t>85+</t>
  </si>
  <si>
    <t>Total</t>
  </si>
  <si>
    <t>9-10</t>
  </si>
  <si>
    <t>7-8.9</t>
  </si>
  <si>
    <t>5-6.9</t>
  </si>
  <si>
    <t>3-4.9</t>
  </si>
  <si>
    <t>1-2.9</t>
  </si>
  <si>
    <t>(-1) - 0.9</t>
  </si>
  <si>
    <t>&lt;(-1)</t>
  </si>
  <si>
    <t>Total Score2</t>
  </si>
  <si>
    <t xml:space="preserve"> Vertical2</t>
  </si>
  <si>
    <t>Copy the blue area to the upper blue area to refresh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</si>
</sst>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#,##0\ &quot;€&quot;;[Red]\-#,##0\ &quot;€&quot;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B0F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theme="9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9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9" tint="0.79998168889431442"/>
      </patternFill>
    </fill>
    <fill>
      <patternFill patternType="solid">
        <fgColor rgb="FF92D050"/>
        <bgColor theme="9" tint="0.79998168889431442"/>
      </patternFill>
    </fill>
    <fill>
      <patternFill patternType="solid">
        <fgColor rgb="FF00B050"/>
        <bgColor theme="9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theme="4"/>
      </patternFill>
    </fill>
    <fill>
      <patternFill patternType="solid">
        <fgColor rgb="FF002060"/>
        <bgColor indexed="64"/>
      </patternFill>
    </fill>
    <fill>
      <patternFill patternType="solid">
        <fgColor rgb="FF002060"/>
        <bgColor theme="9" tint="0.79998168889431442"/>
      </patternFill>
    </fill>
    <fill>
      <patternFill patternType="solid">
        <fgColor rgb="FFFFFF00"/>
        <bgColor theme="4"/>
      </patternFill>
    </fill>
    <fill>
      <patternFill patternType="solid">
        <fgColor rgb="FFFF0000"/>
        <bgColor theme="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9" tint="0.79998168889431442"/>
      </patternFill>
    </fill>
    <fill>
      <patternFill patternType="solid">
        <fgColor rgb="FF00B0F0"/>
        <bgColor theme="4"/>
      </patternFill>
    </fill>
    <fill>
      <patternFill patternType="solid">
        <fgColor theme="4"/>
        <bgColor theme="9" tint="0.79998168889431442"/>
      </patternFill>
    </fill>
    <fill>
      <patternFill patternType="solid">
        <fgColor theme="4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8">
    <xf numFmtId="0" fontId="0" fillId="0" borderId="0" xfId="0"/>
    <xf numFmtId="0" fontId="1" fillId="2" borderId="8" xfId="0" applyFont="1" applyFill="1" applyBorder="1" applyAlignment="1">
      <alignment horizontal="left"/>
    </xf>
    <xf numFmtId="0" fontId="1" fillId="2" borderId="19" xfId="0" applyFont="1" applyFill="1" applyBorder="1" applyAlignment="1">
      <alignment horizontal="left"/>
    </xf>
    <xf numFmtId="0" fontId="1" fillId="2" borderId="7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0" fillId="6" borderId="2" xfId="0" applyNumberFormat="1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0" fontId="4" fillId="16" borderId="1" xfId="0" applyFont="1" applyFill="1" applyBorder="1" applyAlignment="1">
      <alignment horizontal="left"/>
    </xf>
    <xf numFmtId="0" fontId="0" fillId="13" borderId="1" xfId="0" applyNumberFormat="1" applyFont="1" applyFill="1" applyBorder="1" applyAlignment="1">
      <alignment horizontal="left"/>
    </xf>
    <xf numFmtId="0" fontId="0" fillId="9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0" borderId="1" xfId="0" applyNumberFormat="1" applyFont="1" applyFill="1" applyBorder="1" applyAlignment="1">
      <alignment horizontal="left"/>
    </xf>
    <xf numFmtId="0" fontId="0" fillId="15" borderId="1" xfId="0" applyNumberFormat="1" applyFont="1" applyFill="1" applyBorder="1" applyAlignment="1">
      <alignment horizontal="left"/>
    </xf>
    <xf numFmtId="0" fontId="0" fillId="16" borderId="1" xfId="0" applyNumberFormat="1" applyFont="1" applyFill="1" applyBorder="1" applyAlignment="1">
      <alignment horizontal="left"/>
    </xf>
    <xf numFmtId="0" fontId="0" fillId="7" borderId="2" xfId="0" applyNumberFormat="1" applyFont="1" applyFill="1" applyBorder="1" applyAlignment="1">
      <alignment horizontal="left"/>
    </xf>
    <xf numFmtId="0" fontId="0" fillId="15" borderId="5" xfId="0" applyFont="1" applyFill="1" applyBorder="1" applyAlignment="1">
      <alignment horizontal="left"/>
    </xf>
    <xf numFmtId="0" fontId="0" fillId="5" borderId="2" xfId="0" applyNumberFormat="1" applyFont="1" applyFill="1" applyBorder="1" applyAlignment="1">
      <alignment horizontal="left"/>
    </xf>
    <xf numFmtId="0" fontId="0" fillId="13" borderId="1" xfId="0" applyFont="1" applyFill="1" applyBorder="1" applyAlignment="1">
      <alignment horizontal="left"/>
    </xf>
    <xf numFmtId="0" fontId="0" fillId="10" borderId="1" xfId="0" applyFont="1" applyFill="1" applyBorder="1" applyAlignment="1">
      <alignment horizontal="left"/>
    </xf>
    <xf numFmtId="0" fontId="0" fillId="7" borderId="1" xfId="0" applyNumberFormat="1" applyFont="1" applyFill="1" applyBorder="1" applyAlignment="1">
      <alignment horizontal="left"/>
    </xf>
    <xf numFmtId="0" fontId="0" fillId="23" borderId="1" xfId="0" applyNumberFormat="1" applyFont="1" applyFill="1" applyBorder="1" applyAlignment="1">
      <alignment horizontal="left"/>
    </xf>
    <xf numFmtId="0" fontId="0" fillId="14" borderId="1" xfId="0" applyNumberFormat="1" applyFont="1" applyFill="1" applyBorder="1" applyAlignment="1">
      <alignment horizontal="left"/>
    </xf>
    <xf numFmtId="0" fontId="0" fillId="14" borderId="1" xfId="0" applyFont="1" applyFill="1" applyBorder="1" applyAlignment="1">
      <alignment horizontal="left"/>
    </xf>
    <xf numFmtId="0" fontId="0" fillId="15" borderId="1" xfId="0" applyFill="1" applyBorder="1" applyAlignment="1">
      <alignment horizontal="left"/>
    </xf>
    <xf numFmtId="0" fontId="0" fillId="16" borderId="1" xfId="0" applyFont="1" applyFill="1" applyBorder="1" applyAlignment="1">
      <alignment horizontal="left"/>
    </xf>
    <xf numFmtId="0" fontId="0" fillId="9" borderId="1" xfId="0" applyFont="1" applyFill="1" applyBorder="1" applyAlignment="1">
      <alignment horizontal="left"/>
    </xf>
    <xf numFmtId="0" fontId="0" fillId="8" borderId="2" xfId="0" applyNumberFormat="1" applyFont="1" applyFill="1" applyBorder="1" applyAlignment="1">
      <alignment horizontal="left"/>
    </xf>
    <xf numFmtId="0" fontId="0" fillId="12" borderId="1" xfId="0" applyNumberFormat="1" applyFont="1" applyFill="1" applyBorder="1" applyAlignment="1">
      <alignment horizontal="left"/>
    </xf>
    <xf numFmtId="0" fontId="0" fillId="9" borderId="1" xfId="0" applyFill="1" applyBorder="1" applyAlignment="1">
      <alignment horizontal="left"/>
    </xf>
    <xf numFmtId="0" fontId="0" fillId="8" borderId="1" xfId="0" applyFill="1" applyBorder="1" applyAlignment="1">
      <alignment horizontal="left"/>
    </xf>
    <xf numFmtId="0" fontId="0" fillId="8" borderId="1" xfId="0" applyFont="1" applyFill="1" applyBorder="1" applyAlignment="1">
      <alignment horizontal="left"/>
    </xf>
    <xf numFmtId="0" fontId="0" fillId="8" borderId="1" xfId="0" applyNumberFormat="1" applyFont="1" applyFill="1" applyBorder="1" applyAlignment="1">
      <alignment horizontal="left"/>
    </xf>
    <xf numFmtId="0" fontId="0" fillId="16" borderId="5" xfId="0" applyFont="1" applyFill="1" applyBorder="1" applyAlignment="1">
      <alignment horizontal="left"/>
    </xf>
    <xf numFmtId="0" fontId="2" fillId="18" borderId="1" xfId="0" applyFont="1" applyFill="1" applyBorder="1" applyAlignment="1">
      <alignment horizontal="left"/>
    </xf>
    <xf numFmtId="0" fontId="0" fillId="7" borderId="1" xfId="0" applyFont="1" applyFill="1" applyBorder="1" applyAlignment="1">
      <alignment horizontal="left"/>
    </xf>
    <xf numFmtId="0" fontId="2" fillId="19" borderId="1" xfId="0" applyFont="1" applyFill="1" applyBorder="1" applyAlignment="1">
      <alignment horizontal="left"/>
    </xf>
    <xf numFmtId="0" fontId="0" fillId="22" borderId="1" xfId="0" applyNumberFormat="1" applyFont="1" applyFill="1" applyBorder="1" applyAlignment="1">
      <alignment horizontal="left"/>
    </xf>
    <xf numFmtId="0" fontId="0" fillId="9" borderId="5" xfId="0" applyFont="1" applyFill="1" applyBorder="1" applyAlignment="1">
      <alignment horizontal="left"/>
    </xf>
    <xf numFmtId="0" fontId="0" fillId="22" borderId="1" xfId="0" applyFill="1" applyBorder="1" applyAlignment="1">
      <alignment horizontal="left"/>
    </xf>
    <xf numFmtId="0" fontId="0" fillId="14" borderId="2" xfId="0" applyNumberFormat="1" applyFont="1" applyFill="1" applyBorder="1" applyAlignment="1">
      <alignment horizontal="left"/>
    </xf>
    <xf numFmtId="0" fontId="0" fillId="8" borderId="5" xfId="0" applyFont="1" applyFill="1" applyBorder="1" applyAlignment="1">
      <alignment horizontal="left"/>
    </xf>
    <xf numFmtId="0" fontId="0" fillId="12" borderId="1" xfId="0" applyFont="1" applyFill="1" applyBorder="1" applyAlignment="1">
      <alignment horizontal="left"/>
    </xf>
    <xf numFmtId="0" fontId="0" fillId="11" borderId="1" xfId="0" applyFont="1" applyFill="1" applyBorder="1" applyAlignment="1">
      <alignment horizontal="left"/>
    </xf>
    <xf numFmtId="0" fontId="2" fillId="19" borderId="4" xfId="0" applyNumberFormat="1" applyFont="1" applyFill="1" applyBorder="1" applyAlignment="1">
      <alignment horizontal="left"/>
    </xf>
    <xf numFmtId="0" fontId="0" fillId="7" borderId="4" xfId="0" applyNumberFormat="1" applyFont="1" applyFill="1" applyBorder="1" applyAlignment="1">
      <alignment horizontal="left"/>
    </xf>
    <xf numFmtId="0" fontId="4" fillId="4" borderId="11" xfId="0" applyFont="1" applyFill="1" applyBorder="1" applyAlignment="1">
      <alignment horizontal="left"/>
    </xf>
    <xf numFmtId="0" fontId="4" fillId="3" borderId="11" xfId="0" applyFont="1" applyFill="1" applyBorder="1" applyAlignment="1">
      <alignment horizontal="left"/>
    </xf>
    <xf numFmtId="0" fontId="4" fillId="15" borderId="1" xfId="0" applyFont="1" applyFill="1" applyBorder="1" applyAlignment="1">
      <alignment horizontal="left"/>
    </xf>
    <xf numFmtId="0" fontId="4" fillId="14" borderId="1" xfId="0" applyFont="1" applyFill="1" applyBorder="1" applyAlignment="1">
      <alignment horizontal="left"/>
    </xf>
    <xf numFmtId="17" fontId="0" fillId="16" borderId="1" xfId="0" applyNumberForma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4" fillId="16" borderId="5" xfId="0" applyFont="1" applyFill="1" applyBorder="1" applyAlignment="1">
      <alignment horizontal="left"/>
    </xf>
    <xf numFmtId="0" fontId="4" fillId="20" borderId="1" xfId="0" applyFont="1" applyFill="1" applyBorder="1" applyAlignment="1">
      <alignment horizontal="left"/>
    </xf>
    <xf numFmtId="49" fontId="0" fillId="9" borderId="1" xfId="0" applyNumberFormat="1" applyFill="1" applyBorder="1" applyAlignment="1">
      <alignment horizontal="left"/>
    </xf>
    <xf numFmtId="0" fontId="4" fillId="21" borderId="1" xfId="0" applyFont="1" applyFill="1" applyBorder="1" applyAlignment="1">
      <alignment horizontal="left"/>
    </xf>
    <xf numFmtId="0" fontId="4" fillId="20" borderId="5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0" fontId="4" fillId="7" borderId="1" xfId="0" applyNumberFormat="1" applyFont="1" applyFill="1" applyBorder="1" applyAlignment="1">
      <alignment horizontal="left"/>
    </xf>
    <xf numFmtId="0" fontId="4" fillId="8" borderId="5" xfId="0" applyFont="1" applyFill="1" applyBorder="1" applyAlignment="1">
      <alignment horizontal="left"/>
    </xf>
    <xf numFmtId="0" fontId="4" fillId="11" borderId="1" xfId="0" applyFont="1" applyFill="1" applyBorder="1" applyAlignment="1">
      <alignment horizontal="left"/>
    </xf>
    <xf numFmtId="0" fontId="4" fillId="12" borderId="1" xfId="0" applyNumberFormat="1" applyFont="1" applyFill="1" applyBorder="1" applyAlignment="1">
      <alignment horizontal="left"/>
    </xf>
    <xf numFmtId="49" fontId="0" fillId="11" borderId="1" xfId="0" applyNumberFormat="1" applyFill="1" applyBorder="1" applyAlignment="1">
      <alignment horizontal="left"/>
    </xf>
    <xf numFmtId="0" fontId="4" fillId="11" borderId="5" xfId="0" applyFont="1" applyFill="1" applyBorder="1" applyAlignment="1">
      <alignment horizontal="left"/>
    </xf>
    <xf numFmtId="0" fontId="4" fillId="24" borderId="1" xfId="0" applyFont="1" applyFill="1" applyBorder="1" applyAlignment="1">
      <alignment horizontal="left"/>
    </xf>
    <xf numFmtId="0" fontId="4" fillId="17" borderId="14" xfId="0" applyFont="1" applyFill="1" applyBorder="1" applyAlignment="1">
      <alignment horizontal="left"/>
    </xf>
    <xf numFmtId="0" fontId="1" fillId="17" borderId="14" xfId="0" applyFont="1" applyFill="1" applyBorder="1" applyAlignment="1">
      <alignment horizontal="left"/>
    </xf>
    <xf numFmtId="0" fontId="0" fillId="4" borderId="15" xfId="0" applyFill="1" applyBorder="1" applyAlignment="1">
      <alignment horizontal="left"/>
    </xf>
    <xf numFmtId="49" fontId="0" fillId="22" borderId="1" xfId="0" applyNumberFormat="1" applyFill="1" applyBorder="1" applyAlignment="1">
      <alignment horizontal="left"/>
    </xf>
    <xf numFmtId="0" fontId="4" fillId="22" borderId="1" xfId="0" applyFont="1" applyFill="1" applyBorder="1" applyAlignment="1">
      <alignment horizontal="left"/>
    </xf>
    <xf numFmtId="0" fontId="4" fillId="22" borderId="5" xfId="0" applyFont="1" applyFill="1" applyBorder="1" applyAlignment="1">
      <alignment horizontal="left"/>
    </xf>
    <xf numFmtId="0" fontId="4" fillId="3" borderId="10" xfId="0" applyFont="1" applyFill="1" applyBorder="1" applyAlignment="1">
      <alignment horizontal="left"/>
    </xf>
    <xf numFmtId="0" fontId="0" fillId="4" borderId="10" xfId="0" applyFont="1" applyFill="1" applyBorder="1" applyAlignment="1">
      <alignment horizontal="left"/>
    </xf>
    <xf numFmtId="0" fontId="0" fillId="4" borderId="12" xfId="0" applyFill="1" applyBorder="1" applyAlignment="1">
      <alignment horizontal="left"/>
    </xf>
    <xf numFmtId="49" fontId="2" fillId="18" borderId="1" xfId="0" applyNumberFormat="1" applyFont="1" applyFill="1" applyBorder="1" applyAlignment="1">
      <alignment horizontal="left"/>
    </xf>
    <xf numFmtId="0" fontId="2" fillId="18" borderId="5" xfId="0" applyFont="1" applyFill="1" applyBorder="1" applyAlignment="1">
      <alignment horizontal="left"/>
    </xf>
    <xf numFmtId="0" fontId="1" fillId="17" borderId="9" xfId="0" applyFont="1" applyFill="1" applyBorder="1" applyAlignment="1">
      <alignment horizontal="left"/>
    </xf>
    <xf numFmtId="0" fontId="3" fillId="17" borderId="9" xfId="0" applyFont="1" applyFill="1" applyBorder="1" applyAlignment="1">
      <alignment horizontal="left"/>
    </xf>
    <xf numFmtId="0" fontId="0" fillId="4" borderId="9" xfId="0" applyNumberFormat="1" applyFont="1" applyFill="1" applyBorder="1" applyAlignment="1">
      <alignment horizontal="left"/>
    </xf>
    <xf numFmtId="0" fontId="0" fillId="4" borderId="9" xfId="0" applyFont="1" applyFill="1" applyBorder="1" applyAlignment="1">
      <alignment horizontal="left"/>
    </xf>
    <xf numFmtId="0" fontId="0" fillId="3" borderId="9" xfId="0" applyNumberFormat="1" applyFont="1" applyFill="1" applyBorder="1" applyAlignment="1">
      <alignment horizontal="left"/>
    </xf>
    <xf numFmtId="0" fontId="2" fillId="4" borderId="9" xfId="0" applyNumberFormat="1" applyFont="1" applyFill="1" applyBorder="1" applyAlignment="1">
      <alignment horizontal="left"/>
    </xf>
    <xf numFmtId="0" fontId="2" fillId="3" borderId="9" xfId="0" applyNumberFormat="1" applyFont="1" applyFill="1" applyBorder="1" applyAlignment="1">
      <alignment horizontal="left"/>
    </xf>
    <xf numFmtId="0" fontId="0" fillId="3" borderId="9" xfId="0" applyFont="1" applyFill="1" applyBorder="1" applyAlignment="1">
      <alignment horizontal="left"/>
    </xf>
    <xf numFmtId="0" fontId="0" fillId="4" borderId="12" xfId="0" applyNumberFormat="1" applyFont="1" applyFill="1" applyBorder="1" applyAlignment="1">
      <alignment horizontal="left"/>
    </xf>
    <xf numFmtId="0" fontId="0" fillId="3" borderId="16" xfId="0" applyNumberFormat="1" applyFont="1" applyFill="1" applyBorder="1" applyAlignment="1">
      <alignment horizontal="left"/>
    </xf>
    <xf numFmtId="0" fontId="0" fillId="3" borderId="12" xfId="0" applyNumberFormat="1" applyFont="1" applyFill="1" applyBorder="1" applyAlignment="1">
      <alignment horizontal="left"/>
    </xf>
    <xf numFmtId="0" fontId="0" fillId="25" borderId="8" xfId="0" applyNumberFormat="1" applyFont="1" applyFill="1" applyBorder="1" applyAlignment="1">
      <alignment horizontal="left"/>
    </xf>
    <xf numFmtId="0" fontId="0" fillId="25" borderId="19" xfId="0" applyNumberFormat="1" applyFont="1" applyFill="1" applyBorder="1" applyAlignment="1">
      <alignment horizontal="left"/>
    </xf>
    <xf numFmtId="0" fontId="3" fillId="26" borderId="19" xfId="0" applyNumberFormat="1" applyFont="1" applyFill="1" applyBorder="1" applyAlignment="1">
      <alignment horizontal="left"/>
    </xf>
    <xf numFmtId="0" fontId="0" fillId="12" borderId="5" xfId="0" applyNumberFormat="1" applyFont="1" applyFill="1" applyBorder="1" applyAlignment="1">
      <alignment horizontal="left"/>
    </xf>
    <xf numFmtId="0" fontId="0" fillId="22" borderId="5" xfId="0" applyNumberFormat="1" applyFont="1" applyFill="1" applyBorder="1" applyAlignment="1">
      <alignment horizontal="left"/>
    </xf>
    <xf numFmtId="0" fontId="0" fillId="10" borderId="5" xfId="0" applyNumberFormat="1" applyFont="1" applyFill="1" applyBorder="1" applyAlignment="1">
      <alignment horizontal="left"/>
    </xf>
    <xf numFmtId="0" fontId="2" fillId="4" borderId="9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left"/>
    </xf>
    <xf numFmtId="0" fontId="0" fillId="8" borderId="5" xfId="0" applyNumberFormat="1" applyFont="1" applyFill="1" applyBorder="1" applyAlignment="1">
      <alignment horizontal="left"/>
    </xf>
    <xf numFmtId="0" fontId="0" fillId="15" borderId="5" xfId="0" applyNumberFormat="1" applyFont="1" applyFill="1" applyBorder="1" applyAlignment="1">
      <alignment horizontal="left"/>
    </xf>
    <xf numFmtId="0" fontId="0" fillId="14" borderId="5" xfId="0" applyNumberFormat="1" applyFont="1" applyFill="1" applyBorder="1" applyAlignment="1">
      <alignment horizontal="left"/>
    </xf>
    <xf numFmtId="0" fontId="0" fillId="4" borderId="18" xfId="0" applyNumberFormat="1" applyFont="1" applyFill="1" applyBorder="1" applyAlignment="1">
      <alignment horizontal="left"/>
    </xf>
    <xf numFmtId="0" fontId="0" fillId="14" borderId="4" xfId="0" applyNumberFormat="1" applyFont="1" applyFill="1" applyBorder="1" applyAlignment="1">
      <alignment horizontal="left"/>
    </xf>
    <xf numFmtId="0" fontId="3" fillId="4" borderId="9" xfId="0" applyFont="1" applyFill="1" applyBorder="1" applyAlignment="1">
      <alignment horizontal="left"/>
    </xf>
    <xf numFmtId="0" fontId="3" fillId="3" borderId="14" xfId="0" applyNumberFormat="1" applyFont="1" applyFill="1" applyBorder="1" applyAlignment="1">
      <alignment horizontal="left"/>
    </xf>
    <xf numFmtId="0" fontId="0" fillId="3" borderId="13" xfId="0" applyNumberFormat="1" applyFont="1" applyFill="1" applyBorder="1" applyAlignment="1">
      <alignment horizontal="left"/>
    </xf>
    <xf numFmtId="0" fontId="3" fillId="3" borderId="9" xfId="0" applyFont="1" applyFill="1" applyBorder="1" applyAlignment="1">
      <alignment horizontal="left"/>
    </xf>
    <xf numFmtId="0" fontId="0" fillId="4" borderId="13" xfId="0" applyFill="1" applyBorder="1" applyAlignment="1">
      <alignment horizontal="left"/>
    </xf>
    <xf numFmtId="0" fontId="0" fillId="4" borderId="9" xfId="0" applyFill="1" applyBorder="1" applyAlignment="1">
      <alignment horizontal="left"/>
    </xf>
    <xf numFmtId="0" fontId="3" fillId="26" borderId="7" xfId="0" applyNumberFormat="1" applyFont="1" applyFill="1" applyBorder="1" applyAlignment="1">
      <alignment horizontal="left"/>
    </xf>
    <xf numFmtId="0" fontId="0" fillId="4" borderId="10" xfId="0" applyNumberFormat="1" applyFont="1" applyFill="1" applyBorder="1" applyAlignment="1">
      <alignment horizontal="left"/>
    </xf>
    <xf numFmtId="0" fontId="0" fillId="4" borderId="16" xfId="0" applyNumberFormat="1" applyFont="1" applyFill="1" applyBorder="1" applyAlignment="1">
      <alignment horizontal="left"/>
    </xf>
    <xf numFmtId="0" fontId="3" fillId="3" borderId="12" xfId="0" applyNumberFormat="1" applyFont="1" applyFill="1" applyBorder="1" applyAlignment="1">
      <alignment horizontal="left"/>
    </xf>
    <xf numFmtId="0" fontId="0" fillId="3" borderId="12" xfId="0" applyFont="1" applyFill="1" applyBorder="1" applyAlignment="1">
      <alignment horizontal="left"/>
    </xf>
    <xf numFmtId="0" fontId="0" fillId="4" borderId="12" xfId="0" applyFont="1" applyFill="1" applyBorder="1" applyAlignment="1">
      <alignment horizontal="left"/>
    </xf>
    <xf numFmtId="0" fontId="2" fillId="4" borderId="12" xfId="0" applyFont="1" applyFill="1" applyBorder="1" applyAlignment="1">
      <alignment horizontal="left"/>
    </xf>
    <xf numFmtId="0" fontId="3" fillId="4" borderId="21" xfId="0" applyNumberFormat="1" applyFont="1" applyFill="1" applyBorder="1" applyAlignment="1">
      <alignment horizontal="left"/>
    </xf>
    <xf numFmtId="0" fontId="2" fillId="4" borderId="11" xfId="0" applyNumberFormat="1" applyFont="1" applyFill="1" applyBorder="1" applyAlignment="1">
      <alignment horizontal="left"/>
    </xf>
    <xf numFmtId="0" fontId="0" fillId="11" borderId="1" xfId="0" applyNumberFormat="1" applyFont="1" applyFill="1" applyBorder="1" applyAlignment="1">
      <alignment horizontal="left"/>
    </xf>
    <xf numFmtId="0" fontId="0" fillId="13" borderId="5" xfId="0" applyNumberFormat="1" applyFont="1" applyFill="1" applyBorder="1" applyAlignment="1">
      <alignment horizontal="left"/>
    </xf>
    <xf numFmtId="0" fontId="0" fillId="16" borderId="5" xfId="0" applyNumberFormat="1" applyFont="1" applyFill="1" applyBorder="1" applyAlignment="1">
      <alignment horizontal="left"/>
    </xf>
    <xf numFmtId="0" fontId="0" fillId="7" borderId="5" xfId="0" applyNumberFormat="1" applyFont="1" applyFill="1" applyBorder="1" applyAlignment="1">
      <alignment horizontal="left"/>
    </xf>
    <xf numFmtId="0" fontId="4" fillId="23" borderId="5" xfId="0" applyNumberFormat="1" applyFont="1" applyFill="1" applyBorder="1" applyAlignment="1">
      <alignment horizontal="left"/>
    </xf>
    <xf numFmtId="0" fontId="0" fillId="3" borderId="17" xfId="0" applyNumberFormat="1" applyFont="1" applyFill="1" applyBorder="1" applyAlignment="1">
      <alignment horizontal="left"/>
    </xf>
    <xf numFmtId="0" fontId="3" fillId="17" borderId="11" xfId="0" applyFont="1" applyFill="1" applyBorder="1" applyAlignment="1">
      <alignment horizontal="left"/>
    </xf>
    <xf numFmtId="0" fontId="3" fillId="4" borderId="11" xfId="0" applyNumberFormat="1" applyFont="1" applyFill="1" applyBorder="1" applyAlignment="1">
      <alignment horizontal="left"/>
    </xf>
    <xf numFmtId="0" fontId="2" fillId="4" borderId="10" xfId="0" applyNumberFormat="1" applyFont="1" applyFill="1" applyBorder="1" applyAlignment="1">
      <alignment horizontal="left"/>
    </xf>
    <xf numFmtId="0" fontId="1" fillId="4" borderId="9" xfId="0" applyNumberFormat="1" applyFont="1" applyFill="1" applyBorder="1" applyAlignment="1">
      <alignment horizontal="left"/>
    </xf>
    <xf numFmtId="0" fontId="2" fillId="3" borderId="10" xfId="0" applyNumberFormat="1" applyFont="1" applyFill="1" applyBorder="1" applyAlignment="1">
      <alignment horizontal="left"/>
    </xf>
    <xf numFmtId="0" fontId="0" fillId="16" borderId="2" xfId="0" applyNumberFormat="1" applyFont="1" applyFill="1" applyBorder="1" applyAlignment="1">
      <alignment horizontal="left"/>
    </xf>
    <xf numFmtId="0" fontId="3" fillId="3" borderId="11" xfId="0" applyNumberFormat="1" applyFont="1" applyFill="1" applyBorder="1" applyAlignment="1">
      <alignment horizontal="left"/>
    </xf>
    <xf numFmtId="49" fontId="0" fillId="14" borderId="1" xfId="0" applyNumberFormat="1" applyFont="1" applyFill="1" applyBorder="1" applyAlignment="1">
      <alignment horizontal="left"/>
    </xf>
    <xf numFmtId="49" fontId="0" fillId="13" borderId="1" xfId="0" applyNumberFormat="1" applyFont="1" applyFill="1" applyBorder="1" applyAlignment="1">
      <alignment horizontal="left"/>
    </xf>
    <xf numFmtId="49" fontId="0" fillId="10" borderId="1" xfId="0" applyNumberFormat="1" applyFont="1" applyFill="1" applyBorder="1" applyAlignment="1">
      <alignment horizontal="left"/>
    </xf>
    <xf numFmtId="49" fontId="0" fillId="7" borderId="1" xfId="0" applyNumberFormat="1" applyFont="1" applyFill="1" applyBorder="1" applyAlignment="1">
      <alignment horizontal="left"/>
    </xf>
    <xf numFmtId="49" fontId="0" fillId="11" borderId="1" xfId="0" applyNumberFormat="1" applyFont="1" applyFill="1" applyBorder="1" applyAlignment="1">
      <alignment horizontal="left"/>
    </xf>
    <xf numFmtId="49" fontId="0" fillId="23" borderId="1" xfId="0" applyNumberFormat="1" applyFont="1" applyFill="1" applyBorder="1" applyAlignment="1">
      <alignment horizontal="left"/>
    </xf>
    <xf numFmtId="0" fontId="2" fillId="18" borderId="2" xfId="0" applyFont="1" applyFill="1" applyBorder="1" applyAlignment="1">
      <alignment horizontal="left"/>
    </xf>
    <xf numFmtId="0" fontId="0" fillId="14" borderId="5" xfId="0" applyFont="1" applyFill="1" applyBorder="1" applyAlignment="1">
      <alignment horizontal="left"/>
    </xf>
    <xf numFmtId="0" fontId="0" fillId="7" borderId="5" xfId="0" applyFont="1" applyFill="1" applyBorder="1" applyAlignment="1">
      <alignment horizontal="left"/>
    </xf>
    <xf numFmtId="0" fontId="0" fillId="13" borderId="5" xfId="0" applyFont="1" applyFill="1" applyBorder="1" applyAlignment="1">
      <alignment horizontal="left"/>
    </xf>
    <xf numFmtId="0" fontId="2" fillId="19" borderId="5" xfId="0" applyFont="1" applyFill="1" applyBorder="1" applyAlignment="1">
      <alignment horizontal="left"/>
    </xf>
    <xf numFmtId="0" fontId="0" fillId="10" borderId="5" xfId="0" applyFont="1" applyFill="1" applyBorder="1" applyAlignment="1">
      <alignment horizontal="left"/>
    </xf>
    <xf numFmtId="0" fontId="0" fillId="15" borderId="5" xfId="0" applyFill="1" applyBorder="1" applyAlignment="1">
      <alignment horizontal="left"/>
    </xf>
    <xf numFmtId="0" fontId="0" fillId="11" borderId="4" xfId="0" applyFont="1" applyFill="1" applyBorder="1" applyAlignment="1">
      <alignment horizontal="left"/>
    </xf>
    <xf numFmtId="0" fontId="4" fillId="15" borderId="2" xfId="0" applyFont="1" applyFill="1" applyBorder="1" applyAlignment="1">
      <alignment horizontal="left"/>
    </xf>
    <xf numFmtId="0" fontId="4" fillId="16" borderId="2" xfId="0" applyFont="1" applyFill="1" applyBorder="1" applyAlignment="1">
      <alignment horizontal="left"/>
    </xf>
    <xf numFmtId="0" fontId="4" fillId="20" borderId="2" xfId="0" applyFont="1" applyFill="1" applyBorder="1" applyAlignment="1">
      <alignment horizontal="left"/>
    </xf>
    <xf numFmtId="0" fontId="4" fillId="7" borderId="2" xfId="0" applyFont="1" applyFill="1" applyBorder="1" applyAlignment="1">
      <alignment horizontal="left"/>
    </xf>
    <xf numFmtId="0" fontId="4" fillId="11" borderId="2" xfId="0" applyFont="1" applyFill="1" applyBorder="1" applyAlignment="1">
      <alignment horizontal="left"/>
    </xf>
    <xf numFmtId="0" fontId="0" fillId="22" borderId="2" xfId="0" applyFill="1" applyBorder="1" applyAlignment="1">
      <alignment horizontal="left"/>
    </xf>
    <xf numFmtId="0" fontId="1" fillId="17" borderId="13" xfId="0" applyFont="1" applyFill="1" applyBorder="1" applyAlignment="1">
      <alignment horizontal="left"/>
    </xf>
    <xf numFmtId="0" fontId="4" fillId="4" borderId="9" xfId="0" applyFont="1" applyFill="1" applyBorder="1" applyAlignment="1">
      <alignment horizontal="left"/>
    </xf>
    <xf numFmtId="0" fontId="4" fillId="17" borderId="9" xfId="0" applyFont="1" applyFill="1" applyBorder="1" applyAlignment="1">
      <alignment horizontal="left"/>
    </xf>
    <xf numFmtId="0" fontId="4" fillId="3" borderId="9" xfId="0" applyFont="1" applyFill="1" applyBorder="1" applyAlignment="1">
      <alignment horizontal="left"/>
    </xf>
    <xf numFmtId="0" fontId="0" fillId="16" borderId="21" xfId="0" applyFont="1" applyFill="1" applyBorder="1" applyAlignment="1">
      <alignment horizontal="left"/>
    </xf>
    <xf numFmtId="0" fontId="0" fillId="16" borderId="7" xfId="0" applyFont="1" applyFill="1" applyBorder="1" applyAlignment="1">
      <alignment horizontal="left"/>
    </xf>
    <xf numFmtId="0" fontId="0" fillId="16" borderId="6" xfId="0" applyFont="1" applyFill="1" applyBorder="1" applyAlignment="1">
      <alignment horizontal="left"/>
    </xf>
    <xf numFmtId="0" fontId="0" fillId="5" borderId="3" xfId="0" applyNumberFormat="1" applyFont="1" applyFill="1" applyBorder="1" applyAlignment="1">
      <alignment horizontal="left"/>
    </xf>
    <xf numFmtId="0" fontId="0" fillId="22" borderId="1" xfId="0" applyFont="1" applyFill="1" applyBorder="1" applyAlignment="1">
      <alignment horizontal="left"/>
    </xf>
    <xf numFmtId="0" fontId="0" fillId="23" borderId="4" xfId="0" applyFont="1" applyFill="1" applyBorder="1" applyAlignment="1">
      <alignment horizontal="left"/>
    </xf>
    <xf numFmtId="0" fontId="0" fillId="13" borderId="4" xfId="0" applyNumberFormat="1" applyFont="1" applyFill="1" applyBorder="1" applyAlignment="1">
      <alignment horizontal="left"/>
    </xf>
    <xf numFmtId="0" fontId="0" fillId="23" borderId="4" xfId="0" applyNumberFormat="1" applyFont="1" applyFill="1" applyBorder="1" applyAlignment="1">
      <alignment horizontal="left"/>
    </xf>
    <xf numFmtId="0" fontId="0" fillId="10" borderId="4" xfId="0" applyNumberFormat="1" applyFont="1" applyFill="1" applyBorder="1" applyAlignment="1">
      <alignment horizontal="left"/>
    </xf>
    <xf numFmtId="0" fontId="0" fillId="13" borderId="4" xfId="0" applyFont="1" applyFill="1" applyBorder="1" applyAlignment="1">
      <alignment horizontal="left"/>
    </xf>
    <xf numFmtId="0" fontId="0" fillId="13" borderId="6" xfId="0" applyFont="1" applyFill="1" applyBorder="1" applyAlignment="1">
      <alignment horizontal="left"/>
    </xf>
    <xf numFmtId="0" fontId="0" fillId="9" borderId="4" xfId="0" applyNumberFormat="1" applyFont="1" applyFill="1" applyBorder="1" applyAlignment="1">
      <alignment horizontal="left"/>
    </xf>
    <xf numFmtId="0" fontId="0" fillId="16" borderId="4" xfId="0" applyNumberFormat="1" applyFont="1" applyFill="1" applyBorder="1" applyAlignment="1">
      <alignment horizontal="left"/>
    </xf>
    <xf numFmtId="0" fontId="0" fillId="15" borderId="4" xfId="0" applyNumberFormat="1" applyFont="1" applyFill="1" applyBorder="1" applyAlignment="1">
      <alignment horizontal="left"/>
    </xf>
    <xf numFmtId="0" fontId="0" fillId="10" borderId="2" xfId="0" applyNumberFormat="1" applyFont="1" applyFill="1" applyBorder="1" applyAlignment="1">
      <alignment horizontal="left"/>
    </xf>
    <xf numFmtId="0" fontId="0" fillId="9" borderId="3" xfId="0" applyNumberFormat="1" applyFont="1" applyFill="1" applyBorder="1" applyAlignment="1">
      <alignment horizontal="left"/>
    </xf>
    <xf numFmtId="0" fontId="0" fillId="8" borderId="4" xfId="0" applyNumberFormat="1" applyFont="1" applyFill="1" applyBorder="1" applyAlignment="1">
      <alignment horizontal="left"/>
    </xf>
    <xf numFmtId="0" fontId="0" fillId="11" borderId="6" xfId="0" applyNumberFormat="1" applyFont="1" applyFill="1" applyBorder="1" applyAlignment="1">
      <alignment horizontal="left"/>
    </xf>
    <xf numFmtId="0" fontId="0" fillId="15" borderId="6" xfId="0" applyNumberFormat="1" applyFont="1" applyFill="1" applyBorder="1" applyAlignment="1">
      <alignment horizontal="left"/>
    </xf>
    <xf numFmtId="0" fontId="0" fillId="9" borderId="6" xfId="0" applyNumberFormat="1" applyFont="1" applyFill="1" applyBorder="1" applyAlignment="1">
      <alignment horizontal="left"/>
    </xf>
    <xf numFmtId="0" fontId="0" fillId="16" borderId="20" xfId="0" applyFont="1" applyFill="1" applyBorder="1" applyAlignment="1">
      <alignment horizontal="left"/>
    </xf>
    <xf numFmtId="0" fontId="0" fillId="16" borderId="3" xfId="0" applyFont="1" applyFill="1" applyBorder="1" applyAlignment="1">
      <alignment horizontal="left"/>
    </xf>
    <xf numFmtId="0" fontId="0" fillId="16" borderId="22" xfId="0" applyFont="1" applyFill="1" applyBorder="1" applyAlignment="1">
      <alignment horizontal="left"/>
    </xf>
    <xf numFmtId="0" fontId="0" fillId="15" borderId="24" xfId="0" applyFont="1" applyFill="1" applyBorder="1" applyAlignment="1">
      <alignment horizontal="left"/>
    </xf>
    <xf numFmtId="0" fontId="0" fillId="16" borderId="24" xfId="0" applyFont="1" applyFill="1" applyBorder="1" applyAlignment="1">
      <alignment horizontal="left"/>
    </xf>
    <xf numFmtId="0" fontId="0" fillId="9" borderId="24" xfId="0" applyFont="1" applyFill="1" applyBorder="1" applyAlignment="1">
      <alignment horizontal="left"/>
    </xf>
    <xf numFmtId="0" fontId="0" fillId="8" borderId="24" xfId="0" applyFont="1" applyFill="1" applyBorder="1" applyAlignment="1">
      <alignment horizontal="left"/>
    </xf>
    <xf numFmtId="0" fontId="0" fillId="11" borderId="24" xfId="0" applyFont="1" applyFill="1" applyBorder="1" applyAlignment="1">
      <alignment horizontal="left"/>
    </xf>
    <xf numFmtId="6" fontId="0" fillId="22" borderId="24" xfId="0" applyNumberFormat="1" applyFont="1" applyFill="1" applyBorder="1" applyAlignment="1">
      <alignment horizontal="left"/>
    </xf>
    <xf numFmtId="0" fontId="0" fillId="16" borderId="23" xfId="0" applyFont="1" applyFill="1" applyBorder="1" applyAlignment="1">
      <alignment horizontal="left"/>
    </xf>
    <xf numFmtId="0" fontId="0" fillId="16" borderId="8" xfId="0" applyFont="1" applyFill="1" applyBorder="1" applyAlignment="1">
      <alignment horizontal="left"/>
    </xf>
    <xf numFmtId="0" fontId="6" fillId="22" borderId="0" xfId="0" applyFont="1" applyFill="1" applyBorder="1" applyAlignment="1">
      <alignment horizontal="left"/>
    </xf>
    <xf numFmtId="0" fontId="2" fillId="18" borderId="24" xfId="0" applyFont="1" applyFill="1" applyBorder="1" applyAlignment="1">
      <alignment horizontal="left"/>
    </xf>
  </cellXfs>
  <cellStyles count="1">
    <cellStyle name="Normal" xfId="0" builtinId="0"/>
  </cellStyles>
  <dxfs count="34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bgColor rgb="FF00B0F0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bgColor theme="4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theme="9" tint="0.79998168889431442"/>
          <bgColor rgb="FFFFFF0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rgb="FFFFFF0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theme="0"/>
      </font>
      <numFmt numFmtId="0" formatCode="General"/>
      <fill>
        <patternFill patternType="solid">
          <fgColor theme="9" tint="0.79998168889431442"/>
          <bgColor rgb="FF00206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rgb="FF00206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rgb="FF00206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rgb="FF00206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C00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5999938962981048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EAE5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1185ED-2CF7-40A8-82D9-9843215BC758}" name="Table3" displayName="Table3" ref="A1:P31" totalsRowShown="0" headerRowDxfId="33" dataDxfId="31" headerRowBorderDxfId="32" tableBorderDxfId="30" totalsRowBorderDxfId="29">
  <autoFilter ref="A1:P31" xr:uid="{E04E56B9-39A4-4B66-9F0C-C05FFAD5FECC}"/>
  <sortState xmlns:xlrd2="http://schemas.microsoft.com/office/spreadsheetml/2017/richdata2" ref="A2:P31">
    <sortCondition descending="1" ref="B1:B31"/>
  </sortState>
  <tableColumns count="16">
    <tableColumn id="1" xr3:uid="{DBA850EF-E40A-44BB-9049-6BA5057558EA}" name="Weapon" dataDxfId="28"/>
    <tableColumn id="2" xr3:uid="{87EB1936-99C3-47F6-99C4-D460AB3EF3A4}" name="Total Score2" dataDxfId="27">
      <calculatedColumnFormula>AJ2+AK2+AL2+AM2+AN2+AO2+AP2+AQ2+AR2+AS2+AT2+AU2+AV2+AW2</calculatedColumnFormula>
    </tableColumn>
    <tableColumn id="3" xr3:uid="{34EB9743-18F5-4C48-925E-989FB852755D}" name=" Vertical2" dataDxfId="26"/>
    <tableColumn id="4" xr3:uid="{ED8EEDB0-C14F-4E41-8B96-B2BC1193E8D5}" name=" Horizontal" dataDxfId="25"/>
    <tableColumn id="5" xr3:uid="{912D3CF9-0E9D-4FEC-A4F1-B4E1AA98ADAE}" name=" Overall" dataDxfId="24">
      <calculatedColumnFormula>C2+D2</calculatedColumnFormula>
    </tableColumn>
    <tableColumn id="6" xr3:uid="{AFA12C91-70CD-436F-AA67-1AE2BBB586A9}" name=" Original Vertical" dataDxfId="23"/>
    <tableColumn id="7" xr3:uid="{46184569-1A89-4A2A-B177-C38F9AFBA74A}" name="Original Horizontal" dataDxfId="22"/>
    <tableColumn id="8" xr3:uid="{41544382-F5F7-494A-9257-8782747FFCB2}" name=" Original Overall" dataDxfId="21">
      <calculatedColumnFormula>F2+G2</calculatedColumnFormula>
    </tableColumn>
    <tableColumn id="9" xr3:uid="{35B7EAA2-68A3-4596-9EE7-66BC8DA41A99}" name="Percentage difference %" dataDxfId="20">
      <calculatedColumnFormula>ROUND((1-(E2/H2)),2)*100</calculatedColumnFormula>
    </tableColumn>
    <tableColumn id="10" xr3:uid="{B3682BEE-F642-4045-B549-C345D883BF69}" name="Ergonomics" dataDxfId="19"/>
    <tableColumn id="11" xr3:uid="{86687CC2-7325-47F0-AB3D-429C25102B63}" name="Original Ergonomics" dataDxfId="18"/>
    <tableColumn id="12" xr3:uid="{2D6C299E-6B72-4EFD-AE5B-EC36FE8026FD}" name="Difference" dataDxfId="17">
      <calculatedColumnFormula>J2-K2</calculatedColumnFormula>
    </tableColumn>
    <tableColumn id="13" xr3:uid="{2EDF8D30-18CB-4390-BC8B-42093823DC9D}" name=" Caliber" dataDxfId="16"/>
    <tableColumn id="14" xr3:uid="{80FF0A19-8650-4449-8AB0-3B2AD149E692}" name=" Fire-Mode" dataDxfId="15"/>
    <tableColumn id="15" xr3:uid="{BBBB47B3-6D0A-49AE-8A95-445B36C8DC05}" name=" Fire-Rate" dataDxfId="14"/>
    <tableColumn id="16" xr3:uid="{69CE46FA-270E-4CA3-9CC5-5CE3F60D867F}" name=" Price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124E5A-2C63-46EB-8190-5035E12C0B62}" name="Table437" displayName="Table437" ref="C47:J59" totalsRowShown="0" headerRowDxfId="12" dataDxfId="10" headerRowBorderDxfId="11" tableBorderDxfId="9" totalsRowBorderDxfId="8">
  <autoFilter ref="C47:J59" xr:uid="{237BF36A-C0CB-424E-91B8-F5AC63D33A3F}"/>
  <sortState xmlns:xlrd2="http://schemas.microsoft.com/office/spreadsheetml/2017/richdata2" ref="C48:J59">
    <sortCondition descending="1" ref="C47:C59"/>
  </sortState>
  <tableColumns count="8">
    <tableColumn id="1" xr3:uid="{BE85D2AE-E951-40AA-BD3A-88A68EE85707}" name="Caliber" dataDxfId="7"/>
    <tableColumn id="2" xr3:uid="{5EF4B830-7FCB-4278-B66D-C093009D03D6}" name="Best ammo" dataDxfId="6"/>
    <tableColumn id="3" xr3:uid="{0E39C204-B72C-47AA-81FD-3620F143A200}" name="Best ammo damage" dataDxfId="5"/>
    <tableColumn id="4" xr3:uid="{E4F4922F-5269-4092-A145-C87AECE52D87}" name="2nd best ammo" dataDxfId="4"/>
    <tableColumn id="5" xr3:uid="{8E973542-411B-4C4B-9B3F-8AF838233426}" name="2nd best ammo damage" dataDxfId="3"/>
    <tableColumn id="6" xr3:uid="{43131A23-3D66-4ADE-B269-5604DF3E66D1}" name="3rd best ammo" dataDxfId="2"/>
    <tableColumn id="7" xr3:uid="{5AD17B14-8450-4F93-8D18-14583C4031CE}" name="3rd best ammo damage" dataDxfId="1"/>
    <tableColumn id="9" xr3:uid="{F3FA8CB5-C79D-4006-8185-1D2034729888}" name="Total" dataDxfId="0">
      <calculatedColumnFormula>ROUND((L62+M62+N62+O62+P62+Q62)/6,1)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4F662-E149-4B3A-A615-EB974970B39F}">
  <sheetPr codeName="Sheet1"/>
  <dimension ref="A1:CD107"/>
  <sheetViews>
    <sheetView tabSelected="1" zoomScale="85" zoomScaleNormal="85" workbookViewId="0">
      <selection activeCell="AJ2" sqref="AJ2:AW31"/>
    </sheetView>
  </sheetViews>
  <sheetFormatPr defaultRowHeight="15" x14ac:dyDescent="0.25"/>
  <cols>
    <col min="1" max="1" width="24.42578125" style="4" bestFit="1" customWidth="1"/>
    <col min="2" max="2" width="14.42578125" style="4" bestFit="1" customWidth="1"/>
    <col min="3" max="3" width="21" style="4" bestFit="1" customWidth="1"/>
    <col min="4" max="4" width="33.140625" style="4" customWidth="1"/>
    <col min="5" max="5" width="27.28515625" style="4" bestFit="1" customWidth="1"/>
    <col min="6" max="6" width="33.140625" style="4" customWidth="1"/>
    <col min="7" max="7" width="32.140625" style="4" customWidth="1"/>
    <col min="8" max="8" width="33.85546875" style="4" bestFit="1" customWidth="1"/>
    <col min="9" max="9" width="31.5703125" style="4" bestFit="1" customWidth="1"/>
    <col min="10" max="10" width="27.85546875" style="4" customWidth="1"/>
    <col min="11" max="11" width="16.85546875" style="4" bestFit="1" customWidth="1"/>
    <col min="12" max="12" width="21" style="4" bestFit="1" customWidth="1"/>
    <col min="13" max="13" width="17.28515625" style="4" bestFit="1" customWidth="1"/>
    <col min="14" max="14" width="16.42578125" style="4" customWidth="1"/>
    <col min="15" max="15" width="17.7109375" style="4" customWidth="1"/>
    <col min="16" max="16" width="18.140625" style="4" bestFit="1" customWidth="1"/>
    <col min="17" max="17" width="9.140625" style="4"/>
    <col min="18" max="18" width="6.85546875" style="4" customWidth="1"/>
    <col min="19" max="19" width="3.7109375" style="4" customWidth="1"/>
    <col min="20" max="28" width="4.140625" style="4" bestFit="1" customWidth="1"/>
    <col min="29" max="29" width="7.28515625" style="4" bestFit="1" customWidth="1"/>
    <col min="30" max="33" width="7.42578125" style="4" bestFit="1" customWidth="1"/>
    <col min="34" max="34" width="4" style="4" customWidth="1"/>
    <col min="35" max="35" width="9.140625" style="4"/>
    <col min="36" max="38" width="4.140625" style="4" bestFit="1" customWidth="1"/>
    <col min="39" max="41" width="3.85546875" style="4" bestFit="1" customWidth="1"/>
    <col min="42" max="49" width="4.140625" style="4" bestFit="1" customWidth="1"/>
    <col min="50" max="16384" width="9.140625" style="4"/>
  </cols>
  <sheetData>
    <row r="1" spans="1:82" x14ac:dyDescent="0.25">
      <c r="A1" s="1" t="s">
        <v>0</v>
      </c>
      <c r="B1" s="2" t="s">
        <v>194</v>
      </c>
      <c r="C1" s="2" t="s">
        <v>195</v>
      </c>
      <c r="D1" s="2" t="s">
        <v>1</v>
      </c>
      <c r="E1" s="2" t="s">
        <v>2</v>
      </c>
      <c r="F1" s="2" t="s">
        <v>53</v>
      </c>
      <c r="G1" s="2" t="s">
        <v>54</v>
      </c>
      <c r="H1" s="2" t="s">
        <v>55</v>
      </c>
      <c r="I1" s="2" t="s">
        <v>117</v>
      </c>
      <c r="J1" s="2" t="s">
        <v>52</v>
      </c>
      <c r="K1" s="2" t="s">
        <v>56</v>
      </c>
      <c r="L1" s="2" t="s">
        <v>57</v>
      </c>
      <c r="M1" s="2" t="s">
        <v>3</v>
      </c>
      <c r="N1" s="2" t="s">
        <v>4</v>
      </c>
      <c r="O1" s="2" t="s">
        <v>5</v>
      </c>
      <c r="P1" s="3" t="s">
        <v>6</v>
      </c>
      <c r="Q1" s="79" t="s">
        <v>126</v>
      </c>
      <c r="R1" s="5"/>
      <c r="S1" s="157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6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</row>
    <row r="2" spans="1:82" x14ac:dyDescent="0.25">
      <c r="A2" s="8" t="s">
        <v>35</v>
      </c>
      <c r="B2" s="9">
        <f t="shared" ref="B2:B31" si="0">AJ2+AK2+AL2+AM2+AN2+AO2+AP2+AQ2+AR2+AS2+AT2+AU2+AV2+AW2</f>
        <v>92</v>
      </c>
      <c r="C2" s="9">
        <v>32</v>
      </c>
      <c r="D2" s="10">
        <v>150</v>
      </c>
      <c r="E2" s="11">
        <f t="shared" ref="E2:E31" si="1">C2+D2</f>
        <v>182</v>
      </c>
      <c r="F2" s="12">
        <v>73</v>
      </c>
      <c r="G2" s="13">
        <v>340</v>
      </c>
      <c r="H2" s="14">
        <f t="shared" ref="H2:H31" si="2">F2+G2</f>
        <v>413</v>
      </c>
      <c r="I2" s="15">
        <f t="shared" ref="I2:I31" si="3">ROUND((1-(E2/H2)),2)*100</f>
        <v>56.000000000000007</v>
      </c>
      <c r="J2" s="16">
        <v>88</v>
      </c>
      <c r="K2" s="17">
        <v>70</v>
      </c>
      <c r="L2" s="15">
        <f t="shared" ref="L2:L31" si="4">J2-K2</f>
        <v>18</v>
      </c>
      <c r="M2" s="23" t="s">
        <v>139</v>
      </c>
      <c r="N2" s="16" t="s">
        <v>11</v>
      </c>
      <c r="O2" s="9">
        <v>800</v>
      </c>
      <c r="P2" s="19">
        <v>150000</v>
      </c>
      <c r="Q2" s="82"/>
      <c r="R2" s="5"/>
      <c r="S2" s="155"/>
      <c r="T2" s="186" cm="1">
        <f t="array" ref="T2">getColor(C2,"index")</f>
        <v>14</v>
      </c>
      <c r="U2" s="186" cm="1">
        <f t="array" ref="U2">getColor(D2,"index")</f>
        <v>43</v>
      </c>
      <c r="V2" s="186" cm="1">
        <f t="array" ref="V2">getColor(E2,"index")</f>
        <v>43</v>
      </c>
      <c r="W2" s="186" cm="1">
        <f t="array" ref="W2">getColor(F2,"index")</f>
        <v>6</v>
      </c>
      <c r="X2" s="186" cm="1">
        <f t="array" ref="X2">getColor(G2,"index")</f>
        <v>49</v>
      </c>
      <c r="Y2" s="186" cm="1">
        <f t="array" ref="Y2">getColor(H2,"index")</f>
        <v>49</v>
      </c>
      <c r="Z2" s="186" cm="1">
        <f t="array" ref="Z2">getColor(I2,"index")</f>
        <v>6</v>
      </c>
      <c r="AA2" s="186" cm="1">
        <f t="array" ref="AA2">getColor(J2,"index")</f>
        <v>14</v>
      </c>
      <c r="AB2" s="186" cm="1">
        <f t="array" ref="AB2">getColor(K2,"index")</f>
        <v>43</v>
      </c>
      <c r="AC2" s="186" cm="1">
        <f t="array" ref="AC2">getColor(L2,"index")</f>
        <v>6</v>
      </c>
      <c r="AD2" s="186" cm="1">
        <f t="array" ref="AD2">getColor(M2,"index")</f>
        <v>44</v>
      </c>
      <c r="AE2" s="186" cm="1">
        <f t="array" ref="AE2">getColor(N2,"index")</f>
        <v>14</v>
      </c>
      <c r="AF2" s="186" cm="1">
        <f t="array" ref="AF2">getColor(O2,"index")</f>
        <v>14</v>
      </c>
      <c r="AG2" s="186" cm="1">
        <f t="array" ref="AG2">getColor(P2,"index")</f>
        <v>14</v>
      </c>
      <c r="AH2" s="177"/>
      <c r="AI2" s="5"/>
      <c r="AJ2" s="7">
        <f>IF(T2=14,10,IF(T2=43,8,IF(T2=6,6,IF(T2=44,4,IF(T2=3,2,IF(T2=33,0,IF(T2=49,-2,0)))))))</f>
        <v>10</v>
      </c>
      <c r="AK2" s="7">
        <f t="shared" ref="AK2:AK30" si="5">IF(U2=14,10,IF(U2=43,8,IF(U2=6,6,IF(U2=44,4,IF(U2=3,2,IF(U2=33,0,IF(U2=49,-2,0)))))))</f>
        <v>8</v>
      </c>
      <c r="AL2" s="7">
        <f t="shared" ref="AL2:AL30" si="6">IF(V2=14,10,IF(V2=43,8,IF(V2=6,6,IF(V2=44,4,IF(V2=3,2,IF(V2=33,0,IF(V2=49,-2,0)))))))</f>
        <v>8</v>
      </c>
      <c r="AM2" s="7">
        <f t="shared" ref="AM2:AM30" si="7">IF(W2=14,10,IF(W2=43,8,IF(W2=6,6,IF(W2=44,4,IF(W2=3,2,IF(W2=33,0,IF(W2=49,-2,0)))))))</f>
        <v>6</v>
      </c>
      <c r="AN2" s="7">
        <f t="shared" ref="AN2:AN30" si="8">IF(X2=14,10,IF(X2=43,8,IF(X2=6,6,IF(X2=44,4,IF(X2=3,2,IF(X2=33,0,IF(X2=49,-2,0)))))))</f>
        <v>-2</v>
      </c>
      <c r="AO2" s="7">
        <f t="shared" ref="AO2:AO30" si="9">IF(Y2=14,10,IF(Y2=43,8,IF(Y2=6,6,IF(Y2=44,4,IF(Y2=3,2,IF(Y2=33,0,IF(Y2=49,-2,0)))))))</f>
        <v>-2</v>
      </c>
      <c r="AP2" s="7">
        <f t="shared" ref="AP2:AP30" si="10">IF(Z2=14,10,IF(Z2=43,8,IF(Z2=6,6,IF(Z2=44,4,IF(Z2=3,2,IF(Z2=33,0,IF(Z2=49,-2,0)))))))</f>
        <v>6</v>
      </c>
      <c r="AQ2" s="7">
        <f t="shared" ref="AQ2:AQ30" si="11">IF(AA2=14,10,IF(AA2=43,8,IF(AA2=6,6,IF(AA2=44,4,IF(AA2=3,2,IF(AA2=33,0,IF(AA2=49,-2,0)))))))</f>
        <v>10</v>
      </c>
      <c r="AR2" s="7">
        <f t="shared" ref="AR2:AR30" si="12">IF(AB2=14,10,IF(AB2=43,8,IF(AB2=6,6,IF(AB2=44,4,IF(AB2=3,2,IF(AB2=33,0,IF(AB2=49,-2,0)))))))</f>
        <v>8</v>
      </c>
      <c r="AS2" s="7">
        <f t="shared" ref="AS2:AS30" si="13">IF(AC2=14,10,IF(AC2=43,8,IF(AC2=6,6,IF(AC2=44,4,IF(AC2=3,2,IF(AC2=33,0,IF(AC2=49,-2,0)))))))</f>
        <v>6</v>
      </c>
      <c r="AT2" s="7">
        <f t="shared" ref="AT2:AT30" si="14">IF(AD2=14,10,IF(AD2=43,8,IF(AD2=6,6,IF(AD2=44,4,IF(AD2=3,2,IF(AD2=33,0,IF(AD2=49,-2,0)))))))</f>
        <v>4</v>
      </c>
      <c r="AU2" s="7">
        <f t="shared" ref="AU2:AU30" si="15">IF(AE2=14,10,IF(AE2=43,8,IF(AE2=6,6,IF(AE2=44,4,IF(AE2=3,2,IF(AE2=33,0,IF(AE2=49,-2,0)))))))</f>
        <v>10</v>
      </c>
      <c r="AV2" s="7">
        <f t="shared" ref="AV2:AV30" si="16">IF(AF2=14,10,IF(AF2=43,8,IF(AF2=6,6,IF(AF2=44,4,IF(AF2=3,2,IF(AF2=33,0,IF(AF2=49,-2,0)))))))</f>
        <v>10</v>
      </c>
      <c r="AW2" s="7">
        <f>IF(AG2=14,10,IF(AG2=43,8,IF(AG2=6,6,IF(AG2=44,4,IF(AG2=3,2,IF(AG2=33,0,IF(AG2=49,-2,0)))))))</f>
        <v>10</v>
      </c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</row>
    <row r="3" spans="1:82" x14ac:dyDescent="0.25">
      <c r="A3" s="20" t="s">
        <v>36</v>
      </c>
      <c r="B3" s="9">
        <f t="shared" si="0"/>
        <v>86</v>
      </c>
      <c r="C3" s="21">
        <v>48</v>
      </c>
      <c r="D3" s="22">
        <v>164</v>
      </c>
      <c r="E3" s="15">
        <f t="shared" si="1"/>
        <v>212</v>
      </c>
      <c r="F3" s="15">
        <v>65</v>
      </c>
      <c r="G3" s="23">
        <v>221</v>
      </c>
      <c r="H3" s="23">
        <f t="shared" si="2"/>
        <v>286</v>
      </c>
      <c r="I3" s="23">
        <f t="shared" si="3"/>
        <v>26</v>
      </c>
      <c r="J3" s="15">
        <v>51</v>
      </c>
      <c r="K3" s="11">
        <v>67</v>
      </c>
      <c r="L3" s="24">
        <f t="shared" si="4"/>
        <v>-16</v>
      </c>
      <c r="M3" s="23" t="s">
        <v>135</v>
      </c>
      <c r="N3" s="25" t="s">
        <v>11</v>
      </c>
      <c r="O3" s="26">
        <v>950</v>
      </c>
      <c r="P3" s="138">
        <v>200000</v>
      </c>
      <c r="Q3" s="82"/>
      <c r="R3" s="178" t="s">
        <v>46</v>
      </c>
      <c r="S3" s="155"/>
      <c r="T3" s="186" cm="1">
        <f t="array" ref="T3">getColor(C3,"index")</f>
        <v>43</v>
      </c>
      <c r="U3" s="186" cm="1">
        <f t="array" ref="U3">getColor(D3,"index")</f>
        <v>6</v>
      </c>
      <c r="V3" s="186" cm="1">
        <f t="array" ref="V3">getColor(E3,"index")</f>
        <v>6</v>
      </c>
      <c r="W3" s="186" cm="1">
        <f t="array" ref="W3">getColor(F3,"index")</f>
        <v>6</v>
      </c>
      <c r="X3" s="186" cm="1">
        <f t="array" ref="X3">getColor(G3,"index")</f>
        <v>44</v>
      </c>
      <c r="Y3" s="186" cm="1">
        <f t="array" ref="Y3">getColor(H3,"index")</f>
        <v>44</v>
      </c>
      <c r="Z3" s="186" cm="1">
        <f t="array" ref="Z3">getColor(I3,"index")</f>
        <v>44</v>
      </c>
      <c r="AA3" s="186" cm="1">
        <f t="array" ref="AA3">getColor(J3,"index")</f>
        <v>6</v>
      </c>
      <c r="AB3" s="186" cm="1">
        <f t="array" ref="AB3">getColor(K3,"index")</f>
        <v>43</v>
      </c>
      <c r="AC3" s="186" cm="1">
        <f t="array" ref="AC3">getColor(L3,"index")</f>
        <v>33</v>
      </c>
      <c r="AD3" s="186" cm="1">
        <f t="array" ref="AD3">getColor(M3,"index")</f>
        <v>44</v>
      </c>
      <c r="AE3" s="186" cm="1">
        <f t="array" ref="AE3">getColor(N3,"index")</f>
        <v>14</v>
      </c>
      <c r="AF3" s="186" cm="1">
        <f t="array" ref="AF3">getColor(O3,"index")</f>
        <v>14</v>
      </c>
      <c r="AG3" s="186" cm="1">
        <f t="array" ref="AG3">getColor(P3,"index")</f>
        <v>14</v>
      </c>
      <c r="AH3" s="177"/>
      <c r="AI3" s="5"/>
      <c r="AJ3" s="7">
        <f t="shared" ref="AJ3:AJ30" si="17">IF(T3=14,10,IF(T3=43,8,IF(T3=6,6,IF(T3=44,4,IF(T3=3,2,IF(T3=33,0,IF(T3=49,-2,0)))))))</f>
        <v>8</v>
      </c>
      <c r="AK3" s="7">
        <f t="shared" si="5"/>
        <v>6</v>
      </c>
      <c r="AL3" s="7">
        <f t="shared" si="6"/>
        <v>6</v>
      </c>
      <c r="AM3" s="7">
        <f t="shared" si="7"/>
        <v>6</v>
      </c>
      <c r="AN3" s="7">
        <f t="shared" si="8"/>
        <v>4</v>
      </c>
      <c r="AO3" s="7">
        <f t="shared" si="9"/>
        <v>4</v>
      </c>
      <c r="AP3" s="7">
        <f t="shared" si="10"/>
        <v>4</v>
      </c>
      <c r="AQ3" s="7">
        <f t="shared" si="11"/>
        <v>6</v>
      </c>
      <c r="AR3" s="7">
        <f t="shared" si="12"/>
        <v>8</v>
      </c>
      <c r="AS3" s="7">
        <f t="shared" si="13"/>
        <v>0</v>
      </c>
      <c r="AT3" s="7">
        <f t="shared" si="14"/>
        <v>4</v>
      </c>
      <c r="AU3" s="7">
        <f t="shared" si="15"/>
        <v>10</v>
      </c>
      <c r="AV3" s="7">
        <f t="shared" si="16"/>
        <v>10</v>
      </c>
      <c r="AW3" s="7">
        <f>IF(AG3=14,10,IF(AG3=43,8,IF(AG3=6,6,IF(AG3=44,4,IF(AG3=3,2,IF(AG3=33,0,IF(AG3=49,-2,0)))))))</f>
        <v>10</v>
      </c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</row>
    <row r="4" spans="1:82" x14ac:dyDescent="0.25">
      <c r="A4" s="8" t="s">
        <v>31</v>
      </c>
      <c r="B4" s="9">
        <f t="shared" si="0"/>
        <v>84</v>
      </c>
      <c r="C4" s="9">
        <v>23</v>
      </c>
      <c r="D4" s="28">
        <v>113</v>
      </c>
      <c r="E4" s="25">
        <f t="shared" si="1"/>
        <v>136</v>
      </c>
      <c r="F4" s="12">
        <v>67</v>
      </c>
      <c r="G4" s="13">
        <v>333</v>
      </c>
      <c r="H4" s="24">
        <f t="shared" si="2"/>
        <v>400</v>
      </c>
      <c r="I4" s="11">
        <f t="shared" si="3"/>
        <v>66</v>
      </c>
      <c r="J4" s="12">
        <v>55</v>
      </c>
      <c r="K4" s="12">
        <v>59</v>
      </c>
      <c r="L4" s="31">
        <f t="shared" si="4"/>
        <v>-4</v>
      </c>
      <c r="M4" s="23" t="s">
        <v>139</v>
      </c>
      <c r="N4" s="16" t="s">
        <v>11</v>
      </c>
      <c r="O4" s="9">
        <v>850</v>
      </c>
      <c r="P4" s="41">
        <v>300000</v>
      </c>
      <c r="Q4" s="82"/>
      <c r="R4" s="179" t="s">
        <v>47</v>
      </c>
      <c r="S4" s="155"/>
      <c r="T4" s="186" cm="1">
        <f t="array" ref="T4">getColor(C4,"index")</f>
        <v>14</v>
      </c>
      <c r="U4" s="186" cm="1">
        <f t="array" ref="U4">getColor(D4,"index")</f>
        <v>43</v>
      </c>
      <c r="V4" s="186" cm="1">
        <f t="array" ref="V4">getColor(E4,"index")</f>
        <v>14</v>
      </c>
      <c r="W4" s="186" cm="1">
        <f t="array" ref="W4">getColor(F4,"index")</f>
        <v>6</v>
      </c>
      <c r="X4" s="186" cm="1">
        <f t="array" ref="X4">getColor(G4,"index")</f>
        <v>49</v>
      </c>
      <c r="Y4" s="186" cm="1">
        <f t="array" ref="Y4">getColor(H4,"index")</f>
        <v>33</v>
      </c>
      <c r="Z4" s="186" cm="1">
        <f t="array" ref="Z4">getColor(I4,"index")</f>
        <v>43</v>
      </c>
      <c r="AA4" s="186" cm="1">
        <f t="array" ref="AA4">getColor(J4,"index")</f>
        <v>6</v>
      </c>
      <c r="AB4" s="186" cm="1">
        <f t="array" ref="AB4">getColor(K4,"index")</f>
        <v>6</v>
      </c>
      <c r="AC4" s="186" cm="1">
        <f t="array" ref="AC4">getColor(L4,"index")</f>
        <v>3</v>
      </c>
      <c r="AD4" s="186" cm="1">
        <f t="array" ref="AD4">getColor(M4,"index")</f>
        <v>44</v>
      </c>
      <c r="AE4" s="186" cm="1">
        <f t="array" ref="AE4">getColor(N4,"index")</f>
        <v>14</v>
      </c>
      <c r="AF4" s="186" cm="1">
        <f t="array" ref="AF4">getColor(O4,"index")</f>
        <v>14</v>
      </c>
      <c r="AG4" s="186" cm="1">
        <f t="array" ref="AG4">getColor(P4,"index")</f>
        <v>6</v>
      </c>
      <c r="AH4" s="177"/>
      <c r="AI4" s="5"/>
      <c r="AJ4" s="7">
        <f t="shared" si="17"/>
        <v>10</v>
      </c>
      <c r="AK4" s="7">
        <f t="shared" si="5"/>
        <v>8</v>
      </c>
      <c r="AL4" s="7">
        <f t="shared" si="6"/>
        <v>10</v>
      </c>
      <c r="AM4" s="7">
        <f t="shared" si="7"/>
        <v>6</v>
      </c>
      <c r="AN4" s="7">
        <f t="shared" si="8"/>
        <v>-2</v>
      </c>
      <c r="AO4" s="7">
        <f t="shared" si="9"/>
        <v>0</v>
      </c>
      <c r="AP4" s="7">
        <f t="shared" si="10"/>
        <v>8</v>
      </c>
      <c r="AQ4" s="7">
        <f t="shared" si="11"/>
        <v>6</v>
      </c>
      <c r="AR4" s="7">
        <f t="shared" si="12"/>
        <v>6</v>
      </c>
      <c r="AS4" s="7">
        <f t="shared" si="13"/>
        <v>2</v>
      </c>
      <c r="AT4" s="7">
        <f t="shared" si="14"/>
        <v>4</v>
      </c>
      <c r="AU4" s="7">
        <f t="shared" si="15"/>
        <v>10</v>
      </c>
      <c r="AV4" s="7">
        <f t="shared" si="16"/>
        <v>10</v>
      </c>
      <c r="AW4" s="7">
        <f>IF(AG4=14,10,IF(AG4=43,8,IF(AG4=6,6,IF(AG4=44,4,IF(AG4=3,2,IF(AG4=33,0,IF(AG4=49,-2,0)))))))</f>
        <v>6</v>
      </c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</row>
    <row r="5" spans="1:82" x14ac:dyDescent="0.25">
      <c r="A5" s="8" t="s">
        <v>33</v>
      </c>
      <c r="B5" s="9">
        <f t="shared" si="0"/>
        <v>84</v>
      </c>
      <c r="C5" s="28">
        <v>39</v>
      </c>
      <c r="D5" s="29">
        <v>195</v>
      </c>
      <c r="E5" s="15">
        <f t="shared" si="1"/>
        <v>234</v>
      </c>
      <c r="F5" s="12">
        <v>60</v>
      </c>
      <c r="G5" s="13">
        <v>300</v>
      </c>
      <c r="H5" s="24">
        <f t="shared" si="2"/>
        <v>360</v>
      </c>
      <c r="I5" s="23">
        <f t="shared" si="3"/>
        <v>35</v>
      </c>
      <c r="J5" s="16">
        <v>81</v>
      </c>
      <c r="K5" s="17">
        <v>73</v>
      </c>
      <c r="L5" s="23">
        <f t="shared" si="4"/>
        <v>8</v>
      </c>
      <c r="M5" s="35" t="s">
        <v>137</v>
      </c>
      <c r="N5" s="16" t="s">
        <v>11</v>
      </c>
      <c r="O5" s="9">
        <v>900</v>
      </c>
      <c r="P5" s="19">
        <v>170000</v>
      </c>
      <c r="Q5" s="82"/>
      <c r="R5" s="180" t="s">
        <v>48</v>
      </c>
      <c r="S5" s="155"/>
      <c r="T5" s="186" cm="1">
        <f t="array" ref="T5">getColor(C5,"index")</f>
        <v>43</v>
      </c>
      <c r="U5" s="186" cm="1">
        <f t="array" ref="U5">getColor(D5,"index")</f>
        <v>6</v>
      </c>
      <c r="V5" s="186" cm="1">
        <f t="array" ref="V5">getColor(E5,"index")</f>
        <v>6</v>
      </c>
      <c r="W5" s="186" cm="1">
        <f t="array" ref="W5">getColor(F5,"index")</f>
        <v>6</v>
      </c>
      <c r="X5" s="186" cm="1">
        <f t="array" ref="X5">getColor(G5,"index")</f>
        <v>49</v>
      </c>
      <c r="Y5" s="186" cm="1">
        <f t="array" ref="Y5">getColor(H5,"index")</f>
        <v>33</v>
      </c>
      <c r="Z5" s="186" cm="1">
        <f t="array" ref="Z5">getColor(I5,"index")</f>
        <v>44</v>
      </c>
      <c r="AA5" s="186" cm="1">
        <f t="array" ref="AA5">getColor(J5,"index")</f>
        <v>14</v>
      </c>
      <c r="AB5" s="186" cm="1">
        <f t="array" ref="AB5">getColor(K5,"index")</f>
        <v>43</v>
      </c>
      <c r="AC5" s="186" cm="1">
        <f t="array" ref="AC5">getColor(L5,"index")</f>
        <v>44</v>
      </c>
      <c r="AD5" s="186" cm="1">
        <f t="array" ref="AD5">getColor(M5,"index")</f>
        <v>44</v>
      </c>
      <c r="AE5" s="186" cm="1">
        <f t="array" ref="AE5">getColor(N5,"index")</f>
        <v>14</v>
      </c>
      <c r="AF5" s="186" cm="1">
        <f t="array" ref="AF5">getColor(O5,"index")</f>
        <v>14</v>
      </c>
      <c r="AG5" s="186" cm="1">
        <f t="array" ref="AG5">getColor(P5,"index")</f>
        <v>14</v>
      </c>
      <c r="AH5" s="177"/>
      <c r="AI5" s="5"/>
      <c r="AJ5" s="7">
        <f t="shared" si="17"/>
        <v>8</v>
      </c>
      <c r="AK5" s="7">
        <f t="shared" si="5"/>
        <v>6</v>
      </c>
      <c r="AL5" s="7">
        <f t="shared" si="6"/>
        <v>6</v>
      </c>
      <c r="AM5" s="7">
        <f t="shared" si="7"/>
        <v>6</v>
      </c>
      <c r="AN5" s="7">
        <f t="shared" si="8"/>
        <v>-2</v>
      </c>
      <c r="AO5" s="7">
        <f t="shared" si="9"/>
        <v>0</v>
      </c>
      <c r="AP5" s="7">
        <f t="shared" si="10"/>
        <v>4</v>
      </c>
      <c r="AQ5" s="7">
        <f t="shared" si="11"/>
        <v>10</v>
      </c>
      <c r="AR5" s="7">
        <f t="shared" si="12"/>
        <v>8</v>
      </c>
      <c r="AS5" s="7">
        <f t="shared" si="13"/>
        <v>4</v>
      </c>
      <c r="AT5" s="7">
        <f t="shared" si="14"/>
        <v>4</v>
      </c>
      <c r="AU5" s="7">
        <f t="shared" si="15"/>
        <v>10</v>
      </c>
      <c r="AV5" s="7">
        <f t="shared" si="16"/>
        <v>10</v>
      </c>
      <c r="AW5" s="7">
        <f t="shared" ref="AW5:AW30" si="18">IF(AG5=14,10,IF(AG5=43,8,IF(AG5=6,6,IF(AG5=44,4,IF(AG5=3,2,IF(AG5=33,0,IF(AG5=49,-2,0)))))))</f>
        <v>10</v>
      </c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</row>
    <row r="6" spans="1:82" x14ac:dyDescent="0.25">
      <c r="A6" s="20" t="s">
        <v>38</v>
      </c>
      <c r="B6" s="9">
        <f t="shared" si="0"/>
        <v>82</v>
      </c>
      <c r="C6" s="26">
        <v>24</v>
      </c>
      <c r="D6" s="21">
        <v>131</v>
      </c>
      <c r="E6" s="11">
        <f t="shared" si="1"/>
        <v>155</v>
      </c>
      <c r="F6" s="15">
        <v>55</v>
      </c>
      <c r="G6" s="14">
        <v>305</v>
      </c>
      <c r="H6" s="24">
        <f t="shared" si="2"/>
        <v>360</v>
      </c>
      <c r="I6" s="15">
        <f t="shared" si="3"/>
        <v>56.999999999999993</v>
      </c>
      <c r="J6" s="11">
        <v>64</v>
      </c>
      <c r="K6" s="15">
        <v>52</v>
      </c>
      <c r="L6" s="15">
        <f t="shared" si="4"/>
        <v>12</v>
      </c>
      <c r="M6" s="23" t="s">
        <v>139</v>
      </c>
      <c r="N6" s="15" t="s">
        <v>9</v>
      </c>
      <c r="O6" s="22">
        <v>650</v>
      </c>
      <c r="P6" s="138">
        <v>130000</v>
      </c>
      <c r="Q6" s="82"/>
      <c r="R6" s="181" t="s">
        <v>45</v>
      </c>
      <c r="S6" s="155"/>
      <c r="T6" s="186" cm="1">
        <f t="array" ref="T6">getColor(C6,"index")</f>
        <v>14</v>
      </c>
      <c r="U6" s="186" cm="1">
        <f t="array" ref="U6">getColor(D6,"index")</f>
        <v>43</v>
      </c>
      <c r="V6" s="186" cm="1">
        <f t="array" ref="V6">getColor(E6,"index")</f>
        <v>43</v>
      </c>
      <c r="W6" s="186" cm="1">
        <f t="array" ref="W6">getColor(F6,"index")</f>
        <v>6</v>
      </c>
      <c r="X6" s="186" cm="1">
        <f t="array" ref="X6">getColor(G6,"index")</f>
        <v>49</v>
      </c>
      <c r="Y6" s="186" cm="1">
        <f t="array" ref="Y6">getColor(H6,"index")</f>
        <v>33</v>
      </c>
      <c r="Z6" s="186" cm="1">
        <f t="array" ref="Z6">getColor(I6,"index")</f>
        <v>6</v>
      </c>
      <c r="AA6" s="186" cm="1">
        <f t="array" ref="AA6">getColor(J6,"index")</f>
        <v>43</v>
      </c>
      <c r="AB6" s="186" cm="1">
        <f t="array" ref="AB6">getColor(K6,"index")</f>
        <v>6</v>
      </c>
      <c r="AC6" s="186" cm="1">
        <f t="array" ref="AC6">getColor(L6,"index")</f>
        <v>6</v>
      </c>
      <c r="AD6" s="186" cm="1">
        <f t="array" ref="AD6">getColor(M6,"index")</f>
        <v>44</v>
      </c>
      <c r="AE6" s="186" cm="1">
        <f t="array" ref="AE6">getColor(N6,"index")</f>
        <v>6</v>
      </c>
      <c r="AF6" s="186" cm="1">
        <f t="array" ref="AF6">getColor(O6,"index")</f>
        <v>6</v>
      </c>
      <c r="AG6" s="186" cm="1">
        <f t="array" ref="AG6">getColor(P6,"index")</f>
        <v>14</v>
      </c>
      <c r="AH6" s="177"/>
      <c r="AI6" s="5"/>
      <c r="AJ6" s="7">
        <f t="shared" si="17"/>
        <v>10</v>
      </c>
      <c r="AK6" s="7">
        <f t="shared" si="5"/>
        <v>8</v>
      </c>
      <c r="AL6" s="7">
        <f t="shared" si="6"/>
        <v>8</v>
      </c>
      <c r="AM6" s="7">
        <f t="shared" si="7"/>
        <v>6</v>
      </c>
      <c r="AN6" s="7">
        <f t="shared" si="8"/>
        <v>-2</v>
      </c>
      <c r="AO6" s="7">
        <f t="shared" si="9"/>
        <v>0</v>
      </c>
      <c r="AP6" s="7">
        <f t="shared" si="10"/>
        <v>6</v>
      </c>
      <c r="AQ6" s="7">
        <f t="shared" si="11"/>
        <v>8</v>
      </c>
      <c r="AR6" s="7">
        <f t="shared" si="12"/>
        <v>6</v>
      </c>
      <c r="AS6" s="7">
        <f t="shared" si="13"/>
        <v>6</v>
      </c>
      <c r="AT6" s="7">
        <f t="shared" si="14"/>
        <v>4</v>
      </c>
      <c r="AU6" s="7">
        <f t="shared" si="15"/>
        <v>6</v>
      </c>
      <c r="AV6" s="7">
        <f t="shared" si="16"/>
        <v>6</v>
      </c>
      <c r="AW6" s="7">
        <f>IF(AG6=14,10,IF(AG6=43,8,IF(AG6=6,6,IF(AG6=44,4,IF(AG6=3,2,IF(AG6=33,0,IF(AG6=49,-2,0)))))))</f>
        <v>10</v>
      </c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</row>
    <row r="7" spans="1:82" x14ac:dyDescent="0.25">
      <c r="A7" s="8" t="s">
        <v>37</v>
      </c>
      <c r="B7" s="9">
        <f t="shared" si="0"/>
        <v>80</v>
      </c>
      <c r="C7" s="28">
        <v>36</v>
      </c>
      <c r="D7" s="29">
        <v>151</v>
      </c>
      <c r="E7" s="11">
        <f t="shared" si="1"/>
        <v>187</v>
      </c>
      <c r="F7" s="35">
        <v>84</v>
      </c>
      <c r="G7" s="13">
        <v>350</v>
      </c>
      <c r="H7" s="14">
        <f t="shared" si="2"/>
        <v>434</v>
      </c>
      <c r="I7" s="15">
        <f t="shared" si="3"/>
        <v>56.999999999999993</v>
      </c>
      <c r="J7" s="17">
        <v>67</v>
      </c>
      <c r="K7" s="12">
        <v>55</v>
      </c>
      <c r="L7" s="15">
        <f t="shared" si="4"/>
        <v>12</v>
      </c>
      <c r="M7" s="23" t="s">
        <v>139</v>
      </c>
      <c r="N7" s="16" t="s">
        <v>11</v>
      </c>
      <c r="O7" s="28">
        <v>700</v>
      </c>
      <c r="P7" s="19">
        <v>150000</v>
      </c>
      <c r="Q7" s="82"/>
      <c r="R7" s="182" t="s">
        <v>49</v>
      </c>
      <c r="S7" s="155"/>
      <c r="T7" s="186" cm="1">
        <f t="array" ref="T7">getColor(C7,"index")</f>
        <v>43</v>
      </c>
      <c r="U7" s="186" cm="1">
        <f t="array" ref="U7">getColor(D7,"index")</f>
        <v>6</v>
      </c>
      <c r="V7" s="186" cm="1">
        <f t="array" ref="V7">getColor(E7,"index")</f>
        <v>43</v>
      </c>
      <c r="W7" s="186" cm="1">
        <f t="array" ref="W7">getColor(F7,"index")</f>
        <v>44</v>
      </c>
      <c r="X7" s="186" cm="1">
        <f t="array" ref="X7">getColor(G7,"index")</f>
        <v>49</v>
      </c>
      <c r="Y7" s="186" cm="1">
        <f t="array" ref="Y7">getColor(H7,"index")</f>
        <v>49</v>
      </c>
      <c r="Z7" s="186" cm="1">
        <f t="array" ref="Z7">getColor(I7,"index")</f>
        <v>6</v>
      </c>
      <c r="AA7" s="186" cm="1">
        <f t="array" ref="AA7">getColor(J7,"index")</f>
        <v>43</v>
      </c>
      <c r="AB7" s="186" cm="1">
        <f t="array" ref="AB7">getColor(K7,"index")</f>
        <v>6</v>
      </c>
      <c r="AC7" s="186" cm="1">
        <f t="array" ref="AC7">getColor(L7,"index")</f>
        <v>6</v>
      </c>
      <c r="AD7" s="186" cm="1">
        <f t="array" ref="AD7">getColor(M7,"index")</f>
        <v>44</v>
      </c>
      <c r="AE7" s="186" cm="1">
        <f t="array" ref="AE7">getColor(N7,"index")</f>
        <v>14</v>
      </c>
      <c r="AF7" s="186" cm="1">
        <f t="array" ref="AF7">getColor(O7,"index")</f>
        <v>43</v>
      </c>
      <c r="AG7" s="186" cm="1">
        <f t="array" ref="AG7">getColor(P7,"index")</f>
        <v>14</v>
      </c>
      <c r="AH7" s="177"/>
      <c r="AI7" s="5"/>
      <c r="AJ7" s="7">
        <f t="shared" si="17"/>
        <v>8</v>
      </c>
      <c r="AK7" s="7">
        <f t="shared" si="5"/>
        <v>6</v>
      </c>
      <c r="AL7" s="7">
        <f t="shared" si="6"/>
        <v>8</v>
      </c>
      <c r="AM7" s="7">
        <f t="shared" si="7"/>
        <v>4</v>
      </c>
      <c r="AN7" s="7">
        <f t="shared" si="8"/>
        <v>-2</v>
      </c>
      <c r="AO7" s="7">
        <f t="shared" si="9"/>
        <v>-2</v>
      </c>
      <c r="AP7" s="7">
        <f t="shared" si="10"/>
        <v>6</v>
      </c>
      <c r="AQ7" s="7">
        <f t="shared" si="11"/>
        <v>8</v>
      </c>
      <c r="AR7" s="7">
        <f t="shared" si="12"/>
        <v>6</v>
      </c>
      <c r="AS7" s="7">
        <f t="shared" si="13"/>
        <v>6</v>
      </c>
      <c r="AT7" s="7">
        <f t="shared" si="14"/>
        <v>4</v>
      </c>
      <c r="AU7" s="7">
        <f t="shared" si="15"/>
        <v>10</v>
      </c>
      <c r="AV7" s="7">
        <f t="shared" si="16"/>
        <v>8</v>
      </c>
      <c r="AW7" s="7">
        <f>IF(AG7=14,10,IF(AG7=43,8,IF(AG7=6,6,IF(AG7=44,4,IF(AG7=3,2,IF(AG7=33,0,IF(AG7=49,-2,0)))))))</f>
        <v>10</v>
      </c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</row>
    <row r="8" spans="1:82" x14ac:dyDescent="0.25">
      <c r="A8" s="20" t="s">
        <v>29</v>
      </c>
      <c r="B8" s="28">
        <f t="shared" si="0"/>
        <v>78</v>
      </c>
      <c r="C8" s="26">
        <v>19</v>
      </c>
      <c r="D8" s="22">
        <v>156</v>
      </c>
      <c r="E8" s="11">
        <f t="shared" si="1"/>
        <v>175</v>
      </c>
      <c r="F8" s="11">
        <v>48</v>
      </c>
      <c r="G8" s="14">
        <v>390</v>
      </c>
      <c r="H8" s="14">
        <f t="shared" si="2"/>
        <v>438</v>
      </c>
      <c r="I8" s="11">
        <f t="shared" si="3"/>
        <v>60</v>
      </c>
      <c r="J8" s="15">
        <v>50</v>
      </c>
      <c r="K8" s="11">
        <v>65</v>
      </c>
      <c r="L8" s="24">
        <f t="shared" si="4"/>
        <v>-15</v>
      </c>
      <c r="M8" s="23" t="s">
        <v>139</v>
      </c>
      <c r="N8" s="25" t="s">
        <v>11</v>
      </c>
      <c r="O8" s="26">
        <v>950</v>
      </c>
      <c r="P8" s="139">
        <v>365000</v>
      </c>
      <c r="Q8" s="82"/>
      <c r="R8" s="183" t="s">
        <v>50</v>
      </c>
      <c r="S8" s="155"/>
      <c r="T8" s="186" cm="1">
        <f t="array" ref="T8">getColor(C8,"index")</f>
        <v>14</v>
      </c>
      <c r="U8" s="186" cm="1">
        <f t="array" ref="U8">getColor(D8,"index")</f>
        <v>6</v>
      </c>
      <c r="V8" s="186" cm="1">
        <f t="array" ref="V8">getColor(E8,"index")</f>
        <v>43</v>
      </c>
      <c r="W8" s="186" cm="1">
        <f t="array" ref="W8">getColor(F8,"index")</f>
        <v>43</v>
      </c>
      <c r="X8" s="186" cm="1">
        <f t="array" ref="X8">getColor(G8,"index")</f>
        <v>49</v>
      </c>
      <c r="Y8" s="186" cm="1">
        <f t="array" ref="Y8">getColor(H8,"index")</f>
        <v>49</v>
      </c>
      <c r="Z8" s="186" cm="1">
        <f t="array" ref="Z8">getColor(I8,"index")</f>
        <v>43</v>
      </c>
      <c r="AA8" s="186" cm="1">
        <f t="array" ref="AA8">getColor(J8,"index")</f>
        <v>6</v>
      </c>
      <c r="AB8" s="186" cm="1">
        <f t="array" ref="AB8">getColor(K8,"index")</f>
        <v>43</v>
      </c>
      <c r="AC8" s="186" cm="1">
        <f t="array" ref="AC8">getColor(L8,"index")</f>
        <v>33</v>
      </c>
      <c r="AD8" s="186" cm="1">
        <f t="array" ref="AD8">getColor(M8,"index")</f>
        <v>44</v>
      </c>
      <c r="AE8" s="186" cm="1">
        <f t="array" ref="AE8">getColor(N8,"index")</f>
        <v>14</v>
      </c>
      <c r="AF8" s="186" cm="1">
        <f t="array" ref="AF8">getColor(O8,"index")</f>
        <v>14</v>
      </c>
      <c r="AG8" s="186" cm="1">
        <f t="array" ref="AG8">getColor(P8,"index")</f>
        <v>44</v>
      </c>
      <c r="AH8" s="177"/>
      <c r="AI8" s="5"/>
      <c r="AJ8" s="7">
        <f t="shared" si="17"/>
        <v>10</v>
      </c>
      <c r="AK8" s="7">
        <f t="shared" si="5"/>
        <v>6</v>
      </c>
      <c r="AL8" s="7">
        <f t="shared" si="6"/>
        <v>8</v>
      </c>
      <c r="AM8" s="7">
        <f t="shared" si="7"/>
        <v>8</v>
      </c>
      <c r="AN8" s="7">
        <f t="shared" si="8"/>
        <v>-2</v>
      </c>
      <c r="AO8" s="7">
        <f t="shared" si="9"/>
        <v>-2</v>
      </c>
      <c r="AP8" s="7">
        <f t="shared" si="10"/>
        <v>8</v>
      </c>
      <c r="AQ8" s="7">
        <f t="shared" si="11"/>
        <v>6</v>
      </c>
      <c r="AR8" s="7">
        <f t="shared" si="12"/>
        <v>8</v>
      </c>
      <c r="AS8" s="7">
        <f t="shared" si="13"/>
        <v>0</v>
      </c>
      <c r="AT8" s="7">
        <f t="shared" si="14"/>
        <v>4</v>
      </c>
      <c r="AU8" s="7">
        <f t="shared" si="15"/>
        <v>10</v>
      </c>
      <c r="AV8" s="7">
        <f t="shared" si="16"/>
        <v>10</v>
      </c>
      <c r="AW8" s="7">
        <f>IF(AG8=14,10,IF(AG8=43,8,IF(AG8=6,6,IF(AG8=44,4,IF(AG8=3,2,IF(AG8=33,0,IF(AG8=49,-2,0)))))))</f>
        <v>4</v>
      </c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</row>
    <row r="9" spans="1:82" x14ac:dyDescent="0.25">
      <c r="A9" s="20" t="s">
        <v>32</v>
      </c>
      <c r="B9" s="28">
        <f t="shared" si="0"/>
        <v>76</v>
      </c>
      <c r="C9" s="21">
        <v>48</v>
      </c>
      <c r="D9" s="38">
        <v>217</v>
      </c>
      <c r="E9" s="23">
        <f t="shared" si="1"/>
        <v>265</v>
      </c>
      <c r="F9" s="15">
        <v>70</v>
      </c>
      <c r="G9" s="14">
        <v>315</v>
      </c>
      <c r="H9" s="24">
        <f t="shared" si="2"/>
        <v>385</v>
      </c>
      <c r="I9" s="23">
        <f t="shared" si="3"/>
        <v>31</v>
      </c>
      <c r="J9" s="11">
        <v>79</v>
      </c>
      <c r="K9" s="11">
        <v>86</v>
      </c>
      <c r="L9" s="31">
        <f t="shared" si="4"/>
        <v>-7</v>
      </c>
      <c r="M9" s="23" t="s">
        <v>139</v>
      </c>
      <c r="N9" s="25" t="s">
        <v>11</v>
      </c>
      <c r="O9" s="26">
        <v>900</v>
      </c>
      <c r="P9" s="138">
        <v>155000</v>
      </c>
      <c r="Q9" s="82"/>
      <c r="R9" s="187" t="s">
        <v>51</v>
      </c>
      <c r="S9" s="155"/>
      <c r="T9" s="186" cm="1">
        <f t="array" ref="T9">getColor(C9,"index")</f>
        <v>43</v>
      </c>
      <c r="U9" s="186" cm="1">
        <f t="array" ref="U9">getColor(D9,"index")</f>
        <v>44</v>
      </c>
      <c r="V9" s="186" cm="1">
        <f t="array" ref="V9">getColor(E9,"index")</f>
        <v>44</v>
      </c>
      <c r="W9" s="186" cm="1">
        <f t="array" ref="W9">getColor(F9,"index")</f>
        <v>6</v>
      </c>
      <c r="X9" s="186" cm="1">
        <f t="array" ref="X9">getColor(G9,"index")</f>
        <v>49</v>
      </c>
      <c r="Y9" s="186" cm="1">
        <f t="array" ref="Y9">getColor(H9,"index")</f>
        <v>33</v>
      </c>
      <c r="Z9" s="186" cm="1">
        <f t="array" ref="Z9">getColor(I9,"index")</f>
        <v>44</v>
      </c>
      <c r="AA9" s="186" cm="1">
        <f t="array" ref="AA9">getColor(J9,"index")</f>
        <v>43</v>
      </c>
      <c r="AB9" s="186" cm="1">
        <f t="array" ref="AB9">getColor(K9,"index")</f>
        <v>43</v>
      </c>
      <c r="AC9" s="186" cm="1">
        <f t="array" ref="AC9">getColor(L9,"index")</f>
        <v>3</v>
      </c>
      <c r="AD9" s="186" cm="1">
        <f t="array" ref="AD9">getColor(M9,"index")</f>
        <v>44</v>
      </c>
      <c r="AE9" s="186" cm="1">
        <f t="array" ref="AE9">getColor(N9,"index")</f>
        <v>14</v>
      </c>
      <c r="AF9" s="186" cm="1">
        <f t="array" ref="AF9">getColor(O9,"index")</f>
        <v>14</v>
      </c>
      <c r="AG9" s="186" cm="1">
        <f t="array" ref="AG9">getColor(P9,"index")</f>
        <v>14</v>
      </c>
      <c r="AH9" s="177"/>
      <c r="AI9" s="5"/>
      <c r="AJ9" s="7">
        <f t="shared" si="17"/>
        <v>8</v>
      </c>
      <c r="AK9" s="7">
        <f t="shared" si="5"/>
        <v>4</v>
      </c>
      <c r="AL9" s="7">
        <f t="shared" si="6"/>
        <v>4</v>
      </c>
      <c r="AM9" s="7">
        <f t="shared" si="7"/>
        <v>6</v>
      </c>
      <c r="AN9" s="7">
        <f t="shared" si="8"/>
        <v>-2</v>
      </c>
      <c r="AO9" s="7">
        <f t="shared" si="9"/>
        <v>0</v>
      </c>
      <c r="AP9" s="7">
        <f t="shared" si="10"/>
        <v>4</v>
      </c>
      <c r="AQ9" s="7">
        <f t="shared" si="11"/>
        <v>8</v>
      </c>
      <c r="AR9" s="7">
        <f t="shared" si="12"/>
        <v>8</v>
      </c>
      <c r="AS9" s="7">
        <f t="shared" si="13"/>
        <v>2</v>
      </c>
      <c r="AT9" s="7">
        <f t="shared" si="14"/>
        <v>4</v>
      </c>
      <c r="AU9" s="7">
        <f t="shared" si="15"/>
        <v>10</v>
      </c>
      <c r="AV9" s="7">
        <f t="shared" si="16"/>
        <v>10</v>
      </c>
      <c r="AW9" s="7">
        <f>IF(AG9=14,10,IF(AG9=43,8,IF(AG9=6,6,IF(AG9=44,4,IF(AG9=3,2,IF(AG9=33,0,IF(AG9=49,-2,0)))))))</f>
        <v>10</v>
      </c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</row>
    <row r="10" spans="1:82" x14ac:dyDescent="0.25">
      <c r="A10" s="8" t="s">
        <v>17</v>
      </c>
      <c r="B10" s="28">
        <f t="shared" si="0"/>
        <v>74</v>
      </c>
      <c r="C10" s="9">
        <v>33</v>
      </c>
      <c r="D10" s="9">
        <v>87</v>
      </c>
      <c r="E10" s="25">
        <f t="shared" si="1"/>
        <v>120</v>
      </c>
      <c r="F10" s="13">
        <v>156</v>
      </c>
      <c r="G10" s="13">
        <v>314</v>
      </c>
      <c r="H10" s="14">
        <f t="shared" si="2"/>
        <v>470</v>
      </c>
      <c r="I10" s="11">
        <f t="shared" si="3"/>
        <v>74</v>
      </c>
      <c r="J10" s="12">
        <v>43</v>
      </c>
      <c r="K10" s="17">
        <v>61</v>
      </c>
      <c r="L10" s="24">
        <f t="shared" si="4"/>
        <v>-18</v>
      </c>
      <c r="M10" s="23" t="s">
        <v>138</v>
      </c>
      <c r="N10" s="16" t="s">
        <v>11</v>
      </c>
      <c r="O10" s="9">
        <v>850</v>
      </c>
      <c r="P10" s="44">
        <v>385000</v>
      </c>
      <c r="Q10" s="82"/>
      <c r="R10" s="5"/>
      <c r="S10" s="155"/>
      <c r="T10" s="186" cm="1">
        <f t="array" ref="T10">getColor(C10,"index")</f>
        <v>14</v>
      </c>
      <c r="U10" s="186" cm="1">
        <f t="array" ref="U10">getColor(D10,"index")</f>
        <v>14</v>
      </c>
      <c r="V10" s="186" cm="1">
        <f t="array" ref="V10">getColor(E10,"index")</f>
        <v>14</v>
      </c>
      <c r="W10" s="186" cm="1">
        <f t="array" ref="W10">getColor(F10,"index")</f>
        <v>49</v>
      </c>
      <c r="X10" s="186" cm="1">
        <f t="array" ref="X10">getColor(G10,"index")</f>
        <v>49</v>
      </c>
      <c r="Y10" s="186" cm="1">
        <f t="array" ref="Y10">getColor(H10,"index")</f>
        <v>49</v>
      </c>
      <c r="Z10" s="186" cm="1">
        <f t="array" ref="Z10">getColor(I10,"index")</f>
        <v>43</v>
      </c>
      <c r="AA10" s="186" cm="1">
        <f t="array" ref="AA10">getColor(J10,"index")</f>
        <v>6</v>
      </c>
      <c r="AB10" s="186" cm="1">
        <f t="array" ref="AB10">getColor(K10,"index")</f>
        <v>43</v>
      </c>
      <c r="AC10" s="186" cm="1">
        <f t="array" ref="AC10">getColor(L10,"index")</f>
        <v>33</v>
      </c>
      <c r="AD10" s="186" cm="1">
        <f t="array" ref="AD10">getColor(M10,"index")</f>
        <v>44</v>
      </c>
      <c r="AE10" s="186" cm="1">
        <f t="array" ref="AE10">getColor(N10,"index")</f>
        <v>14</v>
      </c>
      <c r="AF10" s="186" cm="1">
        <f t="array" ref="AF10">getColor(O10,"index")</f>
        <v>14</v>
      </c>
      <c r="AG10" s="186" cm="1">
        <f t="array" ref="AG10">getColor(P10,"index")</f>
        <v>44</v>
      </c>
      <c r="AH10" s="177"/>
      <c r="AI10" s="5"/>
      <c r="AJ10" s="7">
        <f t="shared" si="17"/>
        <v>10</v>
      </c>
      <c r="AK10" s="7">
        <f t="shared" si="5"/>
        <v>10</v>
      </c>
      <c r="AL10" s="7">
        <f t="shared" si="6"/>
        <v>10</v>
      </c>
      <c r="AM10" s="7">
        <f t="shared" si="7"/>
        <v>-2</v>
      </c>
      <c r="AN10" s="7">
        <f t="shared" si="8"/>
        <v>-2</v>
      </c>
      <c r="AO10" s="7">
        <f t="shared" si="9"/>
        <v>-2</v>
      </c>
      <c r="AP10" s="7">
        <f t="shared" si="10"/>
        <v>8</v>
      </c>
      <c r="AQ10" s="7">
        <f t="shared" si="11"/>
        <v>6</v>
      </c>
      <c r="AR10" s="7">
        <f t="shared" si="12"/>
        <v>8</v>
      </c>
      <c r="AS10" s="7">
        <f t="shared" si="13"/>
        <v>0</v>
      </c>
      <c r="AT10" s="7">
        <f t="shared" si="14"/>
        <v>4</v>
      </c>
      <c r="AU10" s="7">
        <f t="shared" si="15"/>
        <v>10</v>
      </c>
      <c r="AV10" s="7">
        <f t="shared" si="16"/>
        <v>10</v>
      </c>
      <c r="AW10" s="7">
        <f t="shared" si="18"/>
        <v>4</v>
      </c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</row>
    <row r="11" spans="1:82" x14ac:dyDescent="0.25">
      <c r="A11" s="20" t="s">
        <v>7</v>
      </c>
      <c r="B11" s="28">
        <f t="shared" si="0"/>
        <v>74</v>
      </c>
      <c r="C11" s="21">
        <v>40</v>
      </c>
      <c r="D11" s="26">
        <v>72</v>
      </c>
      <c r="E11" s="25">
        <f t="shared" si="1"/>
        <v>112</v>
      </c>
      <c r="F11" s="14">
        <v>286</v>
      </c>
      <c r="G11" s="14">
        <v>514</v>
      </c>
      <c r="H11" s="14">
        <f t="shared" si="2"/>
        <v>800</v>
      </c>
      <c r="I11" s="25">
        <f t="shared" si="3"/>
        <v>86</v>
      </c>
      <c r="J11" s="15">
        <v>41</v>
      </c>
      <c r="K11" s="23">
        <v>28</v>
      </c>
      <c r="L11" s="15">
        <f t="shared" si="4"/>
        <v>13</v>
      </c>
      <c r="M11" s="11" t="s">
        <v>8</v>
      </c>
      <c r="N11" s="15" t="s">
        <v>9</v>
      </c>
      <c r="O11" s="21">
        <v>700</v>
      </c>
      <c r="P11" s="139">
        <v>355000</v>
      </c>
      <c r="Q11" s="82"/>
      <c r="R11" s="5"/>
      <c r="S11" s="155"/>
      <c r="T11" s="186" cm="1">
        <f t="array" ref="T11">getColor(C11,"index")</f>
        <v>43</v>
      </c>
      <c r="U11" s="186" cm="1">
        <f t="array" ref="U11">getColor(D11,"index")</f>
        <v>14</v>
      </c>
      <c r="V11" s="186" cm="1">
        <f t="array" ref="V11">getColor(E11,"index")</f>
        <v>14</v>
      </c>
      <c r="W11" s="186" cm="1">
        <f t="array" ref="W11">getColor(F11,"index")</f>
        <v>49</v>
      </c>
      <c r="X11" s="186" cm="1">
        <f t="array" ref="X11">getColor(G11,"index")</f>
        <v>49</v>
      </c>
      <c r="Y11" s="186" cm="1">
        <f t="array" ref="Y11">getColor(H11,"index")</f>
        <v>49</v>
      </c>
      <c r="Z11" s="186" cm="1">
        <f t="array" ref="Z11">getColor(I11,"index")</f>
        <v>14</v>
      </c>
      <c r="AA11" s="186" cm="1">
        <f t="array" ref="AA11">getColor(J11,"index")</f>
        <v>6</v>
      </c>
      <c r="AB11" s="186" cm="1">
        <f t="array" ref="AB11">getColor(K11,"index")</f>
        <v>44</v>
      </c>
      <c r="AC11" s="186" cm="1">
        <f t="array" ref="AC11">getColor(L11,"index")</f>
        <v>6</v>
      </c>
      <c r="AD11" s="186" cm="1">
        <f t="array" ref="AD11">getColor(M11,"index")</f>
        <v>43</v>
      </c>
      <c r="AE11" s="186" cm="1">
        <f t="array" ref="AE11">getColor(N11,"index")</f>
        <v>6</v>
      </c>
      <c r="AF11" s="186" cm="1">
        <f t="array" ref="AF11">getColor(O11,"index")</f>
        <v>43</v>
      </c>
      <c r="AG11" s="186" cm="1">
        <f t="array" ref="AG11">getColor(P11,"index")</f>
        <v>44</v>
      </c>
      <c r="AH11" s="177"/>
      <c r="AI11" s="5"/>
      <c r="AJ11" s="7">
        <f t="shared" si="17"/>
        <v>8</v>
      </c>
      <c r="AK11" s="7">
        <f t="shared" si="5"/>
        <v>10</v>
      </c>
      <c r="AL11" s="7">
        <f t="shared" si="6"/>
        <v>10</v>
      </c>
      <c r="AM11" s="7">
        <f t="shared" si="7"/>
        <v>-2</v>
      </c>
      <c r="AN11" s="7">
        <f t="shared" si="8"/>
        <v>-2</v>
      </c>
      <c r="AO11" s="7">
        <f t="shared" si="9"/>
        <v>-2</v>
      </c>
      <c r="AP11" s="7">
        <f t="shared" si="10"/>
        <v>10</v>
      </c>
      <c r="AQ11" s="7">
        <f t="shared" si="11"/>
        <v>6</v>
      </c>
      <c r="AR11" s="7">
        <f t="shared" si="12"/>
        <v>4</v>
      </c>
      <c r="AS11" s="7">
        <f t="shared" si="13"/>
        <v>6</v>
      </c>
      <c r="AT11" s="7">
        <f t="shared" si="14"/>
        <v>8</v>
      </c>
      <c r="AU11" s="7">
        <f t="shared" si="15"/>
        <v>6</v>
      </c>
      <c r="AV11" s="7">
        <f t="shared" si="16"/>
        <v>8</v>
      </c>
      <c r="AW11" s="7">
        <f t="shared" si="18"/>
        <v>4</v>
      </c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</row>
    <row r="12" spans="1:82" x14ac:dyDescent="0.25">
      <c r="A12" s="8" t="s">
        <v>19</v>
      </c>
      <c r="B12" s="28">
        <f t="shared" si="0"/>
        <v>74</v>
      </c>
      <c r="C12" s="29">
        <v>56</v>
      </c>
      <c r="D12" s="29">
        <v>155</v>
      </c>
      <c r="E12" s="15">
        <f t="shared" si="1"/>
        <v>211</v>
      </c>
      <c r="F12" s="35">
        <v>87</v>
      </c>
      <c r="G12" s="35">
        <v>242</v>
      </c>
      <c r="H12" s="31">
        <f t="shared" si="2"/>
        <v>329</v>
      </c>
      <c r="I12" s="23">
        <f t="shared" si="3"/>
        <v>36</v>
      </c>
      <c r="J12" s="17">
        <v>63</v>
      </c>
      <c r="K12" s="17">
        <v>78</v>
      </c>
      <c r="L12" s="24">
        <f t="shared" si="4"/>
        <v>-15</v>
      </c>
      <c r="M12" s="23" t="s">
        <v>138</v>
      </c>
      <c r="N12" s="16" t="s">
        <v>11</v>
      </c>
      <c r="O12" s="29">
        <v>650</v>
      </c>
      <c r="P12" s="41">
        <v>280000</v>
      </c>
      <c r="Q12" s="82"/>
      <c r="R12" s="5"/>
      <c r="S12" s="155"/>
      <c r="T12" s="186" cm="1">
        <f t="array" ref="T12">getColor(C12,"index")</f>
        <v>6</v>
      </c>
      <c r="U12" s="186" cm="1">
        <f t="array" ref="U12">getColor(D12,"index")</f>
        <v>6</v>
      </c>
      <c r="V12" s="186" cm="1">
        <f t="array" ref="V12">getColor(E12,"index")</f>
        <v>6</v>
      </c>
      <c r="W12" s="186" cm="1">
        <f t="array" ref="W12">getColor(F12,"index")</f>
        <v>44</v>
      </c>
      <c r="X12" s="186" cm="1">
        <f t="array" ref="X12">getColor(G12,"index")</f>
        <v>44</v>
      </c>
      <c r="Y12" s="186" cm="1">
        <f t="array" ref="Y12">getColor(H12,"index")</f>
        <v>3</v>
      </c>
      <c r="Z12" s="186" cm="1">
        <f t="array" ref="Z12">getColor(I12,"index")</f>
        <v>44</v>
      </c>
      <c r="AA12" s="186" cm="1">
        <f t="array" ref="AA12">getColor(J12,"index")</f>
        <v>43</v>
      </c>
      <c r="AB12" s="186" cm="1">
        <f t="array" ref="AB12">getColor(K12,"index")</f>
        <v>43</v>
      </c>
      <c r="AC12" s="186" cm="1">
        <f t="array" ref="AC12">getColor(L12,"index")</f>
        <v>33</v>
      </c>
      <c r="AD12" s="186" cm="1">
        <f t="array" ref="AD12">getColor(M12,"index")</f>
        <v>44</v>
      </c>
      <c r="AE12" s="186" cm="1">
        <f t="array" ref="AE12">getColor(N12,"index")</f>
        <v>14</v>
      </c>
      <c r="AF12" s="186" cm="1">
        <f t="array" ref="AF12">getColor(O12,"index")</f>
        <v>6</v>
      </c>
      <c r="AG12" s="186" cm="1">
        <f t="array" ref="AG12">getColor(P12,"index")</f>
        <v>6</v>
      </c>
      <c r="AH12" s="177"/>
      <c r="AI12" s="5"/>
      <c r="AJ12" s="7">
        <f t="shared" si="17"/>
        <v>6</v>
      </c>
      <c r="AK12" s="7">
        <f t="shared" si="5"/>
        <v>6</v>
      </c>
      <c r="AL12" s="7">
        <f t="shared" si="6"/>
        <v>6</v>
      </c>
      <c r="AM12" s="7">
        <f t="shared" si="7"/>
        <v>4</v>
      </c>
      <c r="AN12" s="7">
        <f t="shared" si="8"/>
        <v>4</v>
      </c>
      <c r="AO12" s="7">
        <f t="shared" si="9"/>
        <v>2</v>
      </c>
      <c r="AP12" s="7">
        <f t="shared" si="10"/>
        <v>4</v>
      </c>
      <c r="AQ12" s="7">
        <f t="shared" si="11"/>
        <v>8</v>
      </c>
      <c r="AR12" s="7">
        <f t="shared" si="12"/>
        <v>8</v>
      </c>
      <c r="AS12" s="7">
        <f t="shared" si="13"/>
        <v>0</v>
      </c>
      <c r="AT12" s="7">
        <f t="shared" si="14"/>
        <v>4</v>
      </c>
      <c r="AU12" s="7">
        <f t="shared" si="15"/>
        <v>10</v>
      </c>
      <c r="AV12" s="7">
        <f t="shared" si="16"/>
        <v>6</v>
      </c>
      <c r="AW12" s="7">
        <f t="shared" si="18"/>
        <v>6</v>
      </c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</row>
    <row r="13" spans="1:82" x14ac:dyDescent="0.25">
      <c r="A13" s="20" t="s">
        <v>12</v>
      </c>
      <c r="B13" s="28">
        <f t="shared" si="0"/>
        <v>74</v>
      </c>
      <c r="C13" s="22">
        <v>63</v>
      </c>
      <c r="D13" s="21">
        <v>130</v>
      </c>
      <c r="E13" s="11">
        <f t="shared" si="1"/>
        <v>193</v>
      </c>
      <c r="F13" s="24">
        <v>150</v>
      </c>
      <c r="G13" s="14">
        <v>310</v>
      </c>
      <c r="H13" s="14">
        <f t="shared" si="2"/>
        <v>460</v>
      </c>
      <c r="I13" s="15">
        <f t="shared" si="3"/>
        <v>57.999999999999993</v>
      </c>
      <c r="J13" s="15">
        <v>48</v>
      </c>
      <c r="K13" s="15">
        <v>46</v>
      </c>
      <c r="L13" s="23">
        <f t="shared" si="4"/>
        <v>2</v>
      </c>
      <c r="M13" s="15" t="s">
        <v>13</v>
      </c>
      <c r="N13" s="25" t="s">
        <v>11</v>
      </c>
      <c r="O13" s="26">
        <v>900</v>
      </c>
      <c r="P13" s="140">
        <v>240000</v>
      </c>
      <c r="Q13" s="82"/>
      <c r="R13" s="5"/>
      <c r="S13" s="155"/>
      <c r="T13" s="186" cm="1">
        <f t="array" ref="T13">getColor(C13,"index")</f>
        <v>6</v>
      </c>
      <c r="U13" s="186" cm="1">
        <f t="array" ref="U13">getColor(D13,"index")</f>
        <v>43</v>
      </c>
      <c r="V13" s="186" cm="1">
        <f t="array" ref="V13">getColor(E13,"index")</f>
        <v>43</v>
      </c>
      <c r="W13" s="186" cm="1">
        <f t="array" ref="W13">getColor(F13,"index")</f>
        <v>33</v>
      </c>
      <c r="X13" s="186" cm="1">
        <f t="array" ref="X13">getColor(G13,"index")</f>
        <v>49</v>
      </c>
      <c r="Y13" s="186" cm="1">
        <f t="array" ref="Y13">getColor(H13,"index")</f>
        <v>49</v>
      </c>
      <c r="Z13" s="186" cm="1">
        <f t="array" ref="Z13">getColor(I13,"index")</f>
        <v>6</v>
      </c>
      <c r="AA13" s="186" cm="1">
        <f t="array" ref="AA13">getColor(J13,"index")</f>
        <v>6</v>
      </c>
      <c r="AB13" s="186" cm="1">
        <f t="array" ref="AB13">getColor(K13,"index")</f>
        <v>6</v>
      </c>
      <c r="AC13" s="186" cm="1">
        <f t="array" ref="AC13">getColor(L13,"index")</f>
        <v>44</v>
      </c>
      <c r="AD13" s="186" cm="1">
        <f t="array" ref="AD13">getColor(M13,"index")</f>
        <v>6</v>
      </c>
      <c r="AE13" s="186" cm="1">
        <f t="array" ref="AE13">getColor(N13,"index")</f>
        <v>14</v>
      </c>
      <c r="AF13" s="186" cm="1">
        <f t="array" ref="AF13">getColor(O13,"index")</f>
        <v>14</v>
      </c>
      <c r="AG13" s="186" cm="1">
        <f t="array" ref="AG13">getColor(P13,"index")</f>
        <v>43</v>
      </c>
      <c r="AH13" s="177"/>
      <c r="AI13" s="5"/>
      <c r="AJ13" s="7">
        <f t="shared" si="17"/>
        <v>6</v>
      </c>
      <c r="AK13" s="7">
        <f t="shared" si="5"/>
        <v>8</v>
      </c>
      <c r="AL13" s="7">
        <f t="shared" si="6"/>
        <v>8</v>
      </c>
      <c r="AM13" s="7">
        <f t="shared" si="7"/>
        <v>0</v>
      </c>
      <c r="AN13" s="7">
        <f t="shared" si="8"/>
        <v>-2</v>
      </c>
      <c r="AO13" s="7">
        <f t="shared" si="9"/>
        <v>-2</v>
      </c>
      <c r="AP13" s="7">
        <f t="shared" si="10"/>
        <v>6</v>
      </c>
      <c r="AQ13" s="7">
        <f t="shared" si="11"/>
        <v>6</v>
      </c>
      <c r="AR13" s="7">
        <f t="shared" si="12"/>
        <v>6</v>
      </c>
      <c r="AS13" s="7">
        <f t="shared" si="13"/>
        <v>4</v>
      </c>
      <c r="AT13" s="7">
        <f t="shared" si="14"/>
        <v>6</v>
      </c>
      <c r="AU13" s="7">
        <f t="shared" si="15"/>
        <v>10</v>
      </c>
      <c r="AV13" s="7">
        <f t="shared" si="16"/>
        <v>10</v>
      </c>
      <c r="AW13" s="7">
        <f t="shared" si="18"/>
        <v>8</v>
      </c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</row>
    <row r="14" spans="1:82" x14ac:dyDescent="0.25">
      <c r="A14" s="8" t="s">
        <v>29</v>
      </c>
      <c r="B14" s="28">
        <f t="shared" si="0"/>
        <v>72</v>
      </c>
      <c r="C14" s="9">
        <v>27</v>
      </c>
      <c r="D14" s="29">
        <v>194</v>
      </c>
      <c r="E14" s="15">
        <f t="shared" si="1"/>
        <v>221</v>
      </c>
      <c r="F14" s="12">
        <v>62</v>
      </c>
      <c r="G14" s="13">
        <v>440</v>
      </c>
      <c r="H14" s="14">
        <f t="shared" si="2"/>
        <v>502</v>
      </c>
      <c r="I14" s="15">
        <f t="shared" si="3"/>
        <v>56.000000000000007</v>
      </c>
      <c r="J14" s="12">
        <v>48</v>
      </c>
      <c r="K14" s="17">
        <v>65</v>
      </c>
      <c r="L14" s="24">
        <f t="shared" si="4"/>
        <v>-17</v>
      </c>
      <c r="M14" s="23" t="s">
        <v>30</v>
      </c>
      <c r="N14" s="16" t="s">
        <v>11</v>
      </c>
      <c r="O14" s="9">
        <v>1100</v>
      </c>
      <c r="P14" s="44">
        <v>370000</v>
      </c>
      <c r="Q14" s="82"/>
      <c r="R14" s="5"/>
      <c r="S14" s="155"/>
      <c r="T14" s="186" cm="1">
        <f t="array" ref="T14">getColor(C14,"index")</f>
        <v>14</v>
      </c>
      <c r="U14" s="186" cm="1">
        <f t="array" ref="U14">getColor(D14,"index")</f>
        <v>6</v>
      </c>
      <c r="V14" s="186" cm="1">
        <f t="array" ref="V14">getColor(E14,"index")</f>
        <v>6</v>
      </c>
      <c r="W14" s="186" cm="1">
        <f t="array" ref="W14">getColor(F14,"index")</f>
        <v>6</v>
      </c>
      <c r="X14" s="186" cm="1">
        <f t="array" ref="X14">getColor(G14,"index")</f>
        <v>49</v>
      </c>
      <c r="Y14" s="186" cm="1">
        <f t="array" ref="Y14">getColor(H14,"index")</f>
        <v>49</v>
      </c>
      <c r="Z14" s="186" cm="1">
        <f t="array" ref="Z14">getColor(I14,"index")</f>
        <v>6</v>
      </c>
      <c r="AA14" s="186" cm="1">
        <f t="array" ref="AA14">getColor(J14,"index")</f>
        <v>6</v>
      </c>
      <c r="AB14" s="186" cm="1">
        <f t="array" ref="AB14">getColor(K14,"index")</f>
        <v>43</v>
      </c>
      <c r="AC14" s="186" cm="1">
        <f t="array" ref="AC14">getColor(L14,"index")</f>
        <v>33</v>
      </c>
      <c r="AD14" s="186" cm="1">
        <f t="array" ref="AD14">getColor(M14,"index")</f>
        <v>44</v>
      </c>
      <c r="AE14" s="186" cm="1">
        <f t="array" ref="AE14">getColor(N14,"index")</f>
        <v>14</v>
      </c>
      <c r="AF14" s="186" cm="1">
        <f t="array" ref="AF14">getColor(O14,"index")</f>
        <v>14</v>
      </c>
      <c r="AG14" s="186" cm="1">
        <f t="array" ref="AG14">getColor(P14,"index")</f>
        <v>44</v>
      </c>
      <c r="AH14" s="177"/>
      <c r="AI14" s="5"/>
      <c r="AJ14" s="7">
        <f t="shared" si="17"/>
        <v>10</v>
      </c>
      <c r="AK14" s="7">
        <f t="shared" si="5"/>
        <v>6</v>
      </c>
      <c r="AL14" s="7">
        <f t="shared" si="6"/>
        <v>6</v>
      </c>
      <c r="AM14" s="7">
        <f t="shared" si="7"/>
        <v>6</v>
      </c>
      <c r="AN14" s="7">
        <f t="shared" si="8"/>
        <v>-2</v>
      </c>
      <c r="AO14" s="7">
        <f t="shared" si="9"/>
        <v>-2</v>
      </c>
      <c r="AP14" s="7">
        <f t="shared" si="10"/>
        <v>6</v>
      </c>
      <c r="AQ14" s="7">
        <f t="shared" si="11"/>
        <v>6</v>
      </c>
      <c r="AR14" s="7">
        <f t="shared" si="12"/>
        <v>8</v>
      </c>
      <c r="AS14" s="7">
        <f t="shared" si="13"/>
        <v>0</v>
      </c>
      <c r="AT14" s="7">
        <f t="shared" si="14"/>
        <v>4</v>
      </c>
      <c r="AU14" s="7">
        <f t="shared" si="15"/>
        <v>10</v>
      </c>
      <c r="AV14" s="7">
        <f t="shared" si="16"/>
        <v>10</v>
      </c>
      <c r="AW14" s="7">
        <f t="shared" si="18"/>
        <v>4</v>
      </c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</row>
    <row r="15" spans="1:82" x14ac:dyDescent="0.25">
      <c r="A15" s="20" t="s">
        <v>18</v>
      </c>
      <c r="B15" s="28">
        <f t="shared" si="0"/>
        <v>72</v>
      </c>
      <c r="C15" s="26">
        <v>28</v>
      </c>
      <c r="D15" s="26">
        <v>76</v>
      </c>
      <c r="E15" s="25">
        <f t="shared" si="1"/>
        <v>104</v>
      </c>
      <c r="F15" s="24">
        <v>140</v>
      </c>
      <c r="G15" s="14">
        <v>380</v>
      </c>
      <c r="H15" s="14">
        <f t="shared" si="2"/>
        <v>520</v>
      </c>
      <c r="I15" s="25">
        <f t="shared" si="3"/>
        <v>80</v>
      </c>
      <c r="J15" s="11">
        <v>63</v>
      </c>
      <c r="K15" s="11">
        <v>67</v>
      </c>
      <c r="L15" s="31">
        <f t="shared" si="4"/>
        <v>-4</v>
      </c>
      <c r="M15" s="23" t="s">
        <v>138</v>
      </c>
      <c r="N15" s="15" t="s">
        <v>9</v>
      </c>
      <c r="O15" s="26">
        <v>800</v>
      </c>
      <c r="P15" s="141">
        <v>545000</v>
      </c>
      <c r="Q15" s="82"/>
      <c r="R15" s="5"/>
      <c r="S15" s="155"/>
      <c r="T15" s="186" cm="1">
        <f t="array" ref="T15">getColor(C15,"index")</f>
        <v>14</v>
      </c>
      <c r="U15" s="186" cm="1">
        <f t="array" ref="U15">getColor(D15,"index")</f>
        <v>14</v>
      </c>
      <c r="V15" s="186" cm="1">
        <f t="array" ref="V15">getColor(E15,"index")</f>
        <v>14</v>
      </c>
      <c r="W15" s="186" cm="1">
        <f t="array" ref="W15">getColor(F15,"index")</f>
        <v>33</v>
      </c>
      <c r="X15" s="186" cm="1">
        <f t="array" ref="X15">getColor(G15,"index")</f>
        <v>49</v>
      </c>
      <c r="Y15" s="186" cm="1">
        <f t="array" ref="Y15">getColor(H15,"index")</f>
        <v>49</v>
      </c>
      <c r="Z15" s="186" cm="1">
        <f t="array" ref="Z15">getColor(I15,"index")</f>
        <v>14</v>
      </c>
      <c r="AA15" s="186" cm="1">
        <f t="array" ref="AA15">getColor(J15,"index")</f>
        <v>43</v>
      </c>
      <c r="AB15" s="186" cm="1">
        <f t="array" ref="AB15">getColor(K15,"index")</f>
        <v>43</v>
      </c>
      <c r="AC15" s="186" cm="1">
        <f t="array" ref="AC15">getColor(L15,"index")</f>
        <v>3</v>
      </c>
      <c r="AD15" s="186" cm="1">
        <f t="array" ref="AD15">getColor(M15,"index")</f>
        <v>44</v>
      </c>
      <c r="AE15" s="186" cm="1">
        <f t="array" ref="AE15">getColor(N15,"index")</f>
        <v>6</v>
      </c>
      <c r="AF15" s="186" cm="1">
        <f t="array" ref="AF15">getColor(O15,"index")</f>
        <v>14</v>
      </c>
      <c r="AG15" s="186" cm="1">
        <f t="array" ref="AG15">getColor(P15,"index")</f>
        <v>49</v>
      </c>
      <c r="AH15" s="177"/>
      <c r="AI15" s="5"/>
      <c r="AJ15" s="7">
        <f t="shared" si="17"/>
        <v>10</v>
      </c>
      <c r="AK15" s="7">
        <f t="shared" si="5"/>
        <v>10</v>
      </c>
      <c r="AL15" s="7">
        <f t="shared" si="6"/>
        <v>10</v>
      </c>
      <c r="AM15" s="7">
        <f t="shared" si="7"/>
        <v>0</v>
      </c>
      <c r="AN15" s="7">
        <f t="shared" si="8"/>
        <v>-2</v>
      </c>
      <c r="AO15" s="7">
        <f t="shared" si="9"/>
        <v>-2</v>
      </c>
      <c r="AP15" s="7">
        <f t="shared" si="10"/>
        <v>10</v>
      </c>
      <c r="AQ15" s="7">
        <f t="shared" si="11"/>
        <v>8</v>
      </c>
      <c r="AR15" s="7">
        <f t="shared" si="12"/>
        <v>8</v>
      </c>
      <c r="AS15" s="7">
        <f t="shared" si="13"/>
        <v>2</v>
      </c>
      <c r="AT15" s="7">
        <f t="shared" si="14"/>
        <v>4</v>
      </c>
      <c r="AU15" s="7">
        <f t="shared" si="15"/>
        <v>6</v>
      </c>
      <c r="AV15" s="7">
        <f t="shared" si="16"/>
        <v>10</v>
      </c>
      <c r="AW15" s="7">
        <f t="shared" si="18"/>
        <v>-2</v>
      </c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</row>
    <row r="16" spans="1:82" x14ac:dyDescent="0.25">
      <c r="A16" s="8" t="s">
        <v>14</v>
      </c>
      <c r="B16" s="28">
        <f t="shared" si="0"/>
        <v>72</v>
      </c>
      <c r="C16" s="9">
        <v>29</v>
      </c>
      <c r="D16" s="9">
        <v>81</v>
      </c>
      <c r="E16" s="25">
        <f t="shared" si="1"/>
        <v>110</v>
      </c>
      <c r="F16" s="40">
        <v>147</v>
      </c>
      <c r="G16" s="13">
        <v>405</v>
      </c>
      <c r="H16" s="14">
        <f t="shared" si="2"/>
        <v>552</v>
      </c>
      <c r="I16" s="25">
        <f t="shared" si="3"/>
        <v>80</v>
      </c>
      <c r="J16" s="12">
        <v>52</v>
      </c>
      <c r="K16" s="12">
        <v>56</v>
      </c>
      <c r="L16" s="31">
        <f t="shared" si="4"/>
        <v>-4</v>
      </c>
      <c r="M16" s="23" t="s">
        <v>138</v>
      </c>
      <c r="N16" s="16" t="s">
        <v>11</v>
      </c>
      <c r="O16" s="9">
        <v>800</v>
      </c>
      <c r="P16" s="78">
        <v>540000</v>
      </c>
      <c r="Q16" s="82"/>
      <c r="R16" s="5"/>
      <c r="S16" s="155"/>
      <c r="T16" s="186" cm="1">
        <f t="array" ref="T16">getColor(C16,"index")</f>
        <v>14</v>
      </c>
      <c r="U16" s="186" cm="1">
        <f t="array" ref="U16">getColor(D16,"index")</f>
        <v>14</v>
      </c>
      <c r="V16" s="186" cm="1">
        <f t="array" ref="V16">getColor(E16,"index")</f>
        <v>14</v>
      </c>
      <c r="W16" s="186" cm="1">
        <f t="array" ref="W16">getColor(F16,"index")</f>
        <v>33</v>
      </c>
      <c r="X16" s="186" cm="1">
        <f t="array" ref="X16">getColor(G16,"index")</f>
        <v>49</v>
      </c>
      <c r="Y16" s="186" cm="1">
        <f t="array" ref="Y16">getColor(H16,"index")</f>
        <v>49</v>
      </c>
      <c r="Z16" s="186" cm="1">
        <f t="array" ref="Z16">getColor(I16,"index")</f>
        <v>14</v>
      </c>
      <c r="AA16" s="186" cm="1">
        <f t="array" ref="AA16">getColor(J16,"index")</f>
        <v>6</v>
      </c>
      <c r="AB16" s="186" cm="1">
        <f t="array" ref="AB16">getColor(K16,"index")</f>
        <v>6</v>
      </c>
      <c r="AC16" s="186" cm="1">
        <f t="array" ref="AC16">getColor(L16,"index")</f>
        <v>3</v>
      </c>
      <c r="AD16" s="186" cm="1">
        <f t="array" ref="AD16">getColor(M16,"index")</f>
        <v>44</v>
      </c>
      <c r="AE16" s="186" cm="1">
        <f t="array" ref="AE16">getColor(N16,"index")</f>
        <v>14</v>
      </c>
      <c r="AF16" s="186" cm="1">
        <f t="array" ref="AF16">getColor(O16,"index")</f>
        <v>14</v>
      </c>
      <c r="AG16" s="186" cm="1">
        <f t="array" ref="AG16">getColor(P16,"index")</f>
        <v>49</v>
      </c>
      <c r="AH16" s="177"/>
      <c r="AI16" s="5"/>
      <c r="AJ16" s="7">
        <f t="shared" si="17"/>
        <v>10</v>
      </c>
      <c r="AK16" s="7">
        <f t="shared" si="5"/>
        <v>10</v>
      </c>
      <c r="AL16" s="7">
        <f t="shared" si="6"/>
        <v>10</v>
      </c>
      <c r="AM16" s="7">
        <f t="shared" si="7"/>
        <v>0</v>
      </c>
      <c r="AN16" s="7">
        <f t="shared" si="8"/>
        <v>-2</v>
      </c>
      <c r="AO16" s="7">
        <f t="shared" si="9"/>
        <v>-2</v>
      </c>
      <c r="AP16" s="7">
        <f t="shared" si="10"/>
        <v>10</v>
      </c>
      <c r="AQ16" s="7">
        <f t="shared" si="11"/>
        <v>6</v>
      </c>
      <c r="AR16" s="7">
        <f t="shared" si="12"/>
        <v>6</v>
      </c>
      <c r="AS16" s="7">
        <f t="shared" si="13"/>
        <v>2</v>
      </c>
      <c r="AT16" s="7">
        <f t="shared" si="14"/>
        <v>4</v>
      </c>
      <c r="AU16" s="7">
        <f t="shared" si="15"/>
        <v>10</v>
      </c>
      <c r="AV16" s="7">
        <f t="shared" si="16"/>
        <v>10</v>
      </c>
      <c r="AW16" s="7">
        <f t="shared" si="18"/>
        <v>-2</v>
      </c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</row>
    <row r="17" spans="1:82" x14ac:dyDescent="0.25">
      <c r="A17" s="20" t="s">
        <v>43</v>
      </c>
      <c r="B17" s="28">
        <f t="shared" si="0"/>
        <v>70</v>
      </c>
      <c r="C17" s="22">
        <v>57</v>
      </c>
      <c r="D17" s="21">
        <v>147</v>
      </c>
      <c r="E17" s="15">
        <f t="shared" si="1"/>
        <v>204</v>
      </c>
      <c r="F17" s="14">
        <v>162</v>
      </c>
      <c r="G17" s="14">
        <v>420</v>
      </c>
      <c r="H17" s="14">
        <f t="shared" si="2"/>
        <v>582</v>
      </c>
      <c r="I17" s="11">
        <f t="shared" si="3"/>
        <v>65</v>
      </c>
      <c r="J17" s="15">
        <v>56</v>
      </c>
      <c r="K17" s="15">
        <v>48</v>
      </c>
      <c r="L17" s="23">
        <f t="shared" si="4"/>
        <v>8</v>
      </c>
      <c r="M17" s="15" t="s">
        <v>134</v>
      </c>
      <c r="N17" s="25" t="s">
        <v>11</v>
      </c>
      <c r="O17" s="26">
        <v>800</v>
      </c>
      <c r="P17" s="142">
        <v>290000</v>
      </c>
      <c r="Q17" s="82"/>
      <c r="R17" s="5"/>
      <c r="S17" s="155"/>
      <c r="T17" s="186" cm="1">
        <f t="array" ref="T17">getColor(C17,"index")</f>
        <v>6</v>
      </c>
      <c r="U17" s="186" cm="1">
        <f t="array" ref="U17">getColor(D17,"index")</f>
        <v>43</v>
      </c>
      <c r="V17" s="186" cm="1">
        <f t="array" ref="V17">getColor(E17,"index")</f>
        <v>6</v>
      </c>
      <c r="W17" s="186" cm="1">
        <f t="array" ref="W17">getColor(F17,"index")</f>
        <v>49</v>
      </c>
      <c r="X17" s="186" cm="1">
        <f t="array" ref="X17">getColor(G17,"index")</f>
        <v>49</v>
      </c>
      <c r="Y17" s="186" cm="1">
        <f t="array" ref="Y17">getColor(H17,"index")</f>
        <v>49</v>
      </c>
      <c r="Z17" s="186" cm="1">
        <f t="array" ref="Z17">getColor(I17,"index")</f>
        <v>43</v>
      </c>
      <c r="AA17" s="186" cm="1">
        <f t="array" ref="AA17">getColor(J17,"index")</f>
        <v>6</v>
      </c>
      <c r="AB17" s="186" cm="1">
        <f t="array" ref="AB17">getColor(K17,"index")</f>
        <v>6</v>
      </c>
      <c r="AC17" s="186" cm="1">
        <f t="array" ref="AC17">getColor(L17,"index")</f>
        <v>44</v>
      </c>
      <c r="AD17" s="186" cm="1">
        <f t="array" ref="AD17">getColor(M17,"index")</f>
        <v>6</v>
      </c>
      <c r="AE17" s="186" cm="1">
        <f t="array" ref="AE17">getColor(N17,"index")</f>
        <v>14</v>
      </c>
      <c r="AF17" s="186" cm="1">
        <f t="array" ref="AF17">getColor(O17,"index")</f>
        <v>14</v>
      </c>
      <c r="AG17" s="186" cm="1">
        <f t="array" ref="AG17">getColor(P17,"index")</f>
        <v>6</v>
      </c>
      <c r="AH17" s="177"/>
      <c r="AI17" s="5"/>
      <c r="AJ17" s="7">
        <f t="shared" si="17"/>
        <v>6</v>
      </c>
      <c r="AK17" s="7">
        <f t="shared" si="5"/>
        <v>8</v>
      </c>
      <c r="AL17" s="7">
        <f t="shared" si="6"/>
        <v>6</v>
      </c>
      <c r="AM17" s="7">
        <f t="shared" si="7"/>
        <v>-2</v>
      </c>
      <c r="AN17" s="7">
        <f t="shared" si="8"/>
        <v>-2</v>
      </c>
      <c r="AO17" s="7">
        <f t="shared" si="9"/>
        <v>-2</v>
      </c>
      <c r="AP17" s="7">
        <f t="shared" si="10"/>
        <v>8</v>
      </c>
      <c r="AQ17" s="7">
        <f t="shared" si="11"/>
        <v>6</v>
      </c>
      <c r="AR17" s="7">
        <f t="shared" si="12"/>
        <v>6</v>
      </c>
      <c r="AS17" s="7">
        <f t="shared" si="13"/>
        <v>4</v>
      </c>
      <c r="AT17" s="7">
        <f t="shared" si="14"/>
        <v>6</v>
      </c>
      <c r="AU17" s="7">
        <f t="shared" si="15"/>
        <v>10</v>
      </c>
      <c r="AV17" s="7">
        <f t="shared" si="16"/>
        <v>10</v>
      </c>
      <c r="AW17" s="7">
        <f t="shared" si="18"/>
        <v>6</v>
      </c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</row>
    <row r="18" spans="1:82" x14ac:dyDescent="0.25">
      <c r="A18" s="8" t="s">
        <v>10</v>
      </c>
      <c r="B18" s="28">
        <f t="shared" si="0"/>
        <v>70</v>
      </c>
      <c r="C18" s="29">
        <v>66</v>
      </c>
      <c r="D18" s="28">
        <v>114</v>
      </c>
      <c r="E18" s="11">
        <f t="shared" si="1"/>
        <v>180</v>
      </c>
      <c r="F18" s="13">
        <v>350</v>
      </c>
      <c r="G18" s="13">
        <v>600</v>
      </c>
      <c r="H18" s="14">
        <f t="shared" si="2"/>
        <v>950</v>
      </c>
      <c r="I18" s="25">
        <f t="shared" si="3"/>
        <v>81</v>
      </c>
      <c r="J18" s="35">
        <v>27</v>
      </c>
      <c r="K18" s="12">
        <v>31</v>
      </c>
      <c r="L18" s="31">
        <f t="shared" si="4"/>
        <v>-4</v>
      </c>
      <c r="M18" s="17" t="s">
        <v>8</v>
      </c>
      <c r="N18" s="16" t="s">
        <v>11</v>
      </c>
      <c r="O18" s="28">
        <v>700</v>
      </c>
      <c r="P18" s="41">
        <v>265000</v>
      </c>
      <c r="Q18" s="82"/>
      <c r="R18" s="5"/>
      <c r="S18" s="155"/>
      <c r="T18" s="186" cm="1">
        <f t="array" ref="T18">getColor(C18,"index")</f>
        <v>6</v>
      </c>
      <c r="U18" s="186" cm="1">
        <f t="array" ref="U18">getColor(D18,"index")</f>
        <v>43</v>
      </c>
      <c r="V18" s="186" cm="1">
        <f t="array" ref="V18">getColor(E18,"index")</f>
        <v>43</v>
      </c>
      <c r="W18" s="186" cm="1">
        <f t="array" ref="W18">getColor(F18,"index")</f>
        <v>49</v>
      </c>
      <c r="X18" s="186" cm="1">
        <f t="array" ref="X18">getColor(G18,"index")</f>
        <v>49</v>
      </c>
      <c r="Y18" s="186" cm="1">
        <f t="array" ref="Y18">getColor(H18,"index")</f>
        <v>49</v>
      </c>
      <c r="Z18" s="186" cm="1">
        <f t="array" ref="Z18">getColor(I18,"index")</f>
        <v>14</v>
      </c>
      <c r="AA18" s="186" cm="1">
        <f t="array" ref="AA18">getColor(J18,"index")</f>
        <v>44</v>
      </c>
      <c r="AB18" s="186" cm="1">
        <f t="array" ref="AB18">getColor(K18,"index")</f>
        <v>6</v>
      </c>
      <c r="AC18" s="186" cm="1">
        <f t="array" ref="AC18">getColor(L18,"index")</f>
        <v>3</v>
      </c>
      <c r="AD18" s="186" cm="1">
        <f t="array" ref="AD18">getColor(M18,"index")</f>
        <v>43</v>
      </c>
      <c r="AE18" s="186" cm="1">
        <f t="array" ref="AE18">getColor(N18,"index")</f>
        <v>14</v>
      </c>
      <c r="AF18" s="186" cm="1">
        <f t="array" ref="AF18">getColor(O18,"index")</f>
        <v>43</v>
      </c>
      <c r="AG18" s="186" cm="1">
        <f t="array" ref="AG18">getColor(P18,"index")</f>
        <v>6</v>
      </c>
      <c r="AH18" s="177"/>
      <c r="AI18" s="5"/>
      <c r="AJ18" s="7">
        <f t="shared" si="17"/>
        <v>6</v>
      </c>
      <c r="AK18" s="7">
        <f t="shared" si="5"/>
        <v>8</v>
      </c>
      <c r="AL18" s="7">
        <f t="shared" si="6"/>
        <v>8</v>
      </c>
      <c r="AM18" s="7">
        <f t="shared" si="7"/>
        <v>-2</v>
      </c>
      <c r="AN18" s="7">
        <f t="shared" si="8"/>
        <v>-2</v>
      </c>
      <c r="AO18" s="7">
        <f t="shared" si="9"/>
        <v>-2</v>
      </c>
      <c r="AP18" s="7">
        <f t="shared" si="10"/>
        <v>10</v>
      </c>
      <c r="AQ18" s="7">
        <f t="shared" si="11"/>
        <v>4</v>
      </c>
      <c r="AR18" s="7">
        <f t="shared" si="12"/>
        <v>6</v>
      </c>
      <c r="AS18" s="7">
        <f t="shared" si="13"/>
        <v>2</v>
      </c>
      <c r="AT18" s="7">
        <f t="shared" si="14"/>
        <v>8</v>
      </c>
      <c r="AU18" s="7">
        <f t="shared" si="15"/>
        <v>10</v>
      </c>
      <c r="AV18" s="7">
        <f t="shared" si="16"/>
        <v>8</v>
      </c>
      <c r="AW18" s="7">
        <f t="shared" si="18"/>
        <v>6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</row>
    <row r="19" spans="1:82" x14ac:dyDescent="0.25">
      <c r="A19" s="8" t="s">
        <v>21</v>
      </c>
      <c r="B19" s="29">
        <f t="shared" si="0"/>
        <v>68</v>
      </c>
      <c r="C19" s="29">
        <v>66</v>
      </c>
      <c r="D19" s="29">
        <v>160</v>
      </c>
      <c r="E19" s="15">
        <f t="shared" si="1"/>
        <v>226</v>
      </c>
      <c r="F19" s="13">
        <v>174</v>
      </c>
      <c r="G19" s="13">
        <v>442</v>
      </c>
      <c r="H19" s="14">
        <f t="shared" si="2"/>
        <v>616</v>
      </c>
      <c r="I19" s="11">
        <f t="shared" si="3"/>
        <v>63</v>
      </c>
      <c r="J19" s="17">
        <v>70</v>
      </c>
      <c r="K19" s="35">
        <v>35</v>
      </c>
      <c r="L19" s="25">
        <f t="shared" si="4"/>
        <v>35</v>
      </c>
      <c r="M19" s="35" t="s">
        <v>22</v>
      </c>
      <c r="N19" s="16" t="s">
        <v>11</v>
      </c>
      <c r="O19" s="34">
        <v>600</v>
      </c>
      <c r="P19" s="36">
        <v>250000</v>
      </c>
      <c r="Q19" s="82"/>
      <c r="R19" s="5"/>
      <c r="S19" s="155"/>
      <c r="T19" s="186" cm="1">
        <f t="array" ref="T19">getColor(C19,"index")</f>
        <v>6</v>
      </c>
      <c r="U19" s="186" cm="1">
        <f t="array" ref="U19">getColor(D19,"index")</f>
        <v>6</v>
      </c>
      <c r="V19" s="186" cm="1">
        <f t="array" ref="V19">getColor(E19,"index")</f>
        <v>6</v>
      </c>
      <c r="W19" s="186" cm="1">
        <f t="array" ref="W19">getColor(F19,"index")</f>
        <v>49</v>
      </c>
      <c r="X19" s="186" cm="1">
        <f t="array" ref="X19">getColor(G19,"index")</f>
        <v>49</v>
      </c>
      <c r="Y19" s="186" cm="1">
        <f t="array" ref="Y19">getColor(H19,"index")</f>
        <v>49</v>
      </c>
      <c r="Z19" s="186" cm="1">
        <f t="array" ref="Z19">getColor(I19,"index")</f>
        <v>43</v>
      </c>
      <c r="AA19" s="186" cm="1">
        <f t="array" ref="AA19">getColor(J19,"index")</f>
        <v>43</v>
      </c>
      <c r="AB19" s="186" cm="1">
        <f t="array" ref="AB19">getColor(K19,"index")</f>
        <v>44</v>
      </c>
      <c r="AC19" s="186" cm="1">
        <f t="array" ref="AC19">getColor(L19,"index")</f>
        <v>14</v>
      </c>
      <c r="AD19" s="186" cm="1">
        <f t="array" ref="AD19">getColor(M19,"index")</f>
        <v>44</v>
      </c>
      <c r="AE19" s="186" cm="1">
        <f t="array" ref="AE19">getColor(N19,"index")</f>
        <v>14</v>
      </c>
      <c r="AF19" s="186" cm="1">
        <f t="array" ref="AF19">getColor(O19,"index")</f>
        <v>44</v>
      </c>
      <c r="AG19" s="186" cm="1">
        <f t="array" ref="AG19">getColor(P19,"index")</f>
        <v>43</v>
      </c>
      <c r="AH19" s="177"/>
      <c r="AI19" s="5"/>
      <c r="AJ19" s="7">
        <f t="shared" si="17"/>
        <v>6</v>
      </c>
      <c r="AK19" s="7">
        <f t="shared" si="5"/>
        <v>6</v>
      </c>
      <c r="AL19" s="7">
        <f t="shared" si="6"/>
        <v>6</v>
      </c>
      <c r="AM19" s="7">
        <f t="shared" si="7"/>
        <v>-2</v>
      </c>
      <c r="AN19" s="7">
        <f t="shared" si="8"/>
        <v>-2</v>
      </c>
      <c r="AO19" s="7">
        <f t="shared" si="9"/>
        <v>-2</v>
      </c>
      <c r="AP19" s="7">
        <f t="shared" si="10"/>
        <v>8</v>
      </c>
      <c r="AQ19" s="7">
        <f t="shared" si="11"/>
        <v>8</v>
      </c>
      <c r="AR19" s="7">
        <f t="shared" si="12"/>
        <v>4</v>
      </c>
      <c r="AS19" s="7">
        <f t="shared" si="13"/>
        <v>10</v>
      </c>
      <c r="AT19" s="7">
        <f t="shared" si="14"/>
        <v>4</v>
      </c>
      <c r="AU19" s="7">
        <f t="shared" si="15"/>
        <v>10</v>
      </c>
      <c r="AV19" s="7">
        <f t="shared" si="16"/>
        <v>4</v>
      </c>
      <c r="AW19" s="7">
        <f t="shared" si="18"/>
        <v>8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</row>
    <row r="20" spans="1:82" x14ac:dyDescent="0.25">
      <c r="A20" s="8" t="s">
        <v>26</v>
      </c>
      <c r="B20" s="29">
        <f t="shared" si="0"/>
        <v>66</v>
      </c>
      <c r="C20" s="29">
        <v>56</v>
      </c>
      <c r="D20" s="28">
        <v>121</v>
      </c>
      <c r="E20" s="11">
        <f t="shared" si="1"/>
        <v>177</v>
      </c>
      <c r="F20" s="13">
        <v>245</v>
      </c>
      <c r="G20" s="13">
        <v>525</v>
      </c>
      <c r="H20" s="14">
        <f t="shared" si="2"/>
        <v>770</v>
      </c>
      <c r="I20" s="11">
        <f t="shared" si="3"/>
        <v>77</v>
      </c>
      <c r="J20" s="12">
        <v>53</v>
      </c>
      <c r="K20" s="17">
        <v>60</v>
      </c>
      <c r="L20" s="31">
        <f t="shared" si="4"/>
        <v>-7</v>
      </c>
      <c r="M20" s="17" t="s">
        <v>8</v>
      </c>
      <c r="N20" s="12" t="s">
        <v>9</v>
      </c>
      <c r="O20" s="28">
        <v>700</v>
      </c>
      <c r="P20" s="44">
        <v>380000</v>
      </c>
      <c r="Q20" s="82"/>
      <c r="R20" s="5"/>
      <c r="S20" s="155"/>
      <c r="T20" s="186" cm="1">
        <f t="array" ref="T20">getColor(C20,"index")</f>
        <v>6</v>
      </c>
      <c r="U20" s="186" cm="1">
        <f t="array" ref="U20">getColor(D20,"index")</f>
        <v>43</v>
      </c>
      <c r="V20" s="186" cm="1">
        <f t="array" ref="V20">getColor(E20,"index")</f>
        <v>43</v>
      </c>
      <c r="W20" s="186" cm="1">
        <f t="array" ref="W20">getColor(F20,"index")</f>
        <v>49</v>
      </c>
      <c r="X20" s="186" cm="1">
        <f t="array" ref="X20">getColor(G20,"index")</f>
        <v>49</v>
      </c>
      <c r="Y20" s="186" cm="1">
        <f t="array" ref="Y20">getColor(H20,"index")</f>
        <v>49</v>
      </c>
      <c r="Z20" s="186" cm="1">
        <f t="array" ref="Z20">getColor(I20,"index")</f>
        <v>43</v>
      </c>
      <c r="AA20" s="186" cm="1">
        <f t="array" ref="AA20">getColor(J20,"index")</f>
        <v>6</v>
      </c>
      <c r="AB20" s="186" cm="1">
        <f t="array" ref="AB20">getColor(K20,"index")</f>
        <v>43</v>
      </c>
      <c r="AC20" s="186" cm="1">
        <f t="array" ref="AC20">getColor(L20,"index")</f>
        <v>3</v>
      </c>
      <c r="AD20" s="186" cm="1">
        <f t="array" ref="AD20">getColor(M20,"index")</f>
        <v>43</v>
      </c>
      <c r="AE20" s="186" cm="1">
        <f t="array" ref="AE20">getColor(N20,"index")</f>
        <v>6</v>
      </c>
      <c r="AF20" s="186" cm="1">
        <f t="array" ref="AF20">getColor(O20,"index")</f>
        <v>43</v>
      </c>
      <c r="AG20" s="186" cm="1">
        <f t="array" ref="AG20">getColor(P20,"index")</f>
        <v>44</v>
      </c>
      <c r="AH20" s="177"/>
      <c r="AI20" s="5"/>
      <c r="AJ20" s="7">
        <f t="shared" si="17"/>
        <v>6</v>
      </c>
      <c r="AK20" s="7">
        <f t="shared" si="5"/>
        <v>8</v>
      </c>
      <c r="AL20" s="7">
        <f t="shared" si="6"/>
        <v>8</v>
      </c>
      <c r="AM20" s="7">
        <f t="shared" si="7"/>
        <v>-2</v>
      </c>
      <c r="AN20" s="7">
        <f t="shared" si="8"/>
        <v>-2</v>
      </c>
      <c r="AO20" s="7">
        <f t="shared" si="9"/>
        <v>-2</v>
      </c>
      <c r="AP20" s="7">
        <f t="shared" si="10"/>
        <v>8</v>
      </c>
      <c r="AQ20" s="7">
        <f t="shared" si="11"/>
        <v>6</v>
      </c>
      <c r="AR20" s="7">
        <f t="shared" si="12"/>
        <v>8</v>
      </c>
      <c r="AS20" s="7">
        <f t="shared" si="13"/>
        <v>2</v>
      </c>
      <c r="AT20" s="7">
        <f t="shared" si="14"/>
        <v>8</v>
      </c>
      <c r="AU20" s="7">
        <f t="shared" si="15"/>
        <v>6</v>
      </c>
      <c r="AV20" s="7">
        <f t="shared" si="16"/>
        <v>8</v>
      </c>
      <c r="AW20" s="7">
        <f t="shared" si="18"/>
        <v>4</v>
      </c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</row>
    <row r="21" spans="1:82" x14ac:dyDescent="0.25">
      <c r="A21" s="20" t="s">
        <v>15</v>
      </c>
      <c r="B21" s="29">
        <f t="shared" si="0"/>
        <v>64</v>
      </c>
      <c r="C21" s="21">
        <v>50</v>
      </c>
      <c r="D21" s="21">
        <v>141</v>
      </c>
      <c r="E21" s="11">
        <f t="shared" si="1"/>
        <v>191</v>
      </c>
      <c r="F21" s="24">
        <v>131</v>
      </c>
      <c r="G21" s="14">
        <v>370</v>
      </c>
      <c r="H21" s="14">
        <f t="shared" si="2"/>
        <v>501</v>
      </c>
      <c r="I21" s="11">
        <f t="shared" si="3"/>
        <v>62</v>
      </c>
      <c r="J21" s="31">
        <v>16</v>
      </c>
      <c r="K21" s="23">
        <v>34</v>
      </c>
      <c r="L21" s="24">
        <f t="shared" si="4"/>
        <v>-18</v>
      </c>
      <c r="M21" s="23" t="s">
        <v>16</v>
      </c>
      <c r="N21" s="25" t="s">
        <v>11</v>
      </c>
      <c r="O21" s="22">
        <v>650</v>
      </c>
      <c r="P21" s="138">
        <v>180000</v>
      </c>
      <c r="Q21" s="82"/>
      <c r="R21" s="5"/>
      <c r="S21" s="155"/>
      <c r="T21" s="186" cm="1">
        <f t="array" ref="T21">getColor(C21,"index")</f>
        <v>43</v>
      </c>
      <c r="U21" s="186" cm="1">
        <f t="array" ref="U21">getColor(D21,"index")</f>
        <v>43</v>
      </c>
      <c r="V21" s="186" cm="1">
        <f t="array" ref="V21">getColor(E21,"index")</f>
        <v>43</v>
      </c>
      <c r="W21" s="186" cm="1">
        <f t="array" ref="W21">getColor(F21,"index")</f>
        <v>33</v>
      </c>
      <c r="X21" s="186" cm="1">
        <f t="array" ref="X21">getColor(G21,"index")</f>
        <v>49</v>
      </c>
      <c r="Y21" s="186" cm="1">
        <f t="array" ref="Y21">getColor(H21,"index")</f>
        <v>49</v>
      </c>
      <c r="Z21" s="186" cm="1">
        <f t="array" ref="Z21">getColor(I21,"index")</f>
        <v>43</v>
      </c>
      <c r="AA21" s="186" cm="1">
        <f t="array" ref="AA21">getColor(J21,"index")</f>
        <v>3</v>
      </c>
      <c r="AB21" s="186" cm="1">
        <f t="array" ref="AB21">getColor(K21,"index")</f>
        <v>44</v>
      </c>
      <c r="AC21" s="186" cm="1">
        <f t="array" ref="AC21">getColor(L21,"index")</f>
        <v>33</v>
      </c>
      <c r="AD21" s="186" cm="1">
        <f t="array" ref="AD21">getColor(M21,"index")</f>
        <v>44</v>
      </c>
      <c r="AE21" s="186" cm="1">
        <f t="array" ref="AE21">getColor(N21,"index")</f>
        <v>14</v>
      </c>
      <c r="AF21" s="186" cm="1">
        <f t="array" ref="AF21">getColor(O21,"index")</f>
        <v>6</v>
      </c>
      <c r="AG21" s="186" cm="1">
        <f t="array" ref="AG21">getColor(P21,"index")</f>
        <v>14</v>
      </c>
      <c r="AH21" s="177"/>
      <c r="AI21" s="5"/>
      <c r="AJ21" s="7">
        <f t="shared" si="17"/>
        <v>8</v>
      </c>
      <c r="AK21" s="7">
        <f t="shared" si="5"/>
        <v>8</v>
      </c>
      <c r="AL21" s="7">
        <f t="shared" si="6"/>
        <v>8</v>
      </c>
      <c r="AM21" s="7">
        <f t="shared" si="7"/>
        <v>0</v>
      </c>
      <c r="AN21" s="7">
        <f t="shared" si="8"/>
        <v>-2</v>
      </c>
      <c r="AO21" s="7">
        <f t="shared" si="9"/>
        <v>-2</v>
      </c>
      <c r="AP21" s="7">
        <f t="shared" si="10"/>
        <v>8</v>
      </c>
      <c r="AQ21" s="7">
        <f t="shared" si="11"/>
        <v>2</v>
      </c>
      <c r="AR21" s="7">
        <f t="shared" si="12"/>
        <v>4</v>
      </c>
      <c r="AS21" s="7">
        <f t="shared" si="13"/>
        <v>0</v>
      </c>
      <c r="AT21" s="7">
        <f t="shared" si="14"/>
        <v>4</v>
      </c>
      <c r="AU21" s="7">
        <f t="shared" si="15"/>
        <v>10</v>
      </c>
      <c r="AV21" s="7">
        <f t="shared" si="16"/>
        <v>6</v>
      </c>
      <c r="AW21" s="7">
        <f t="shared" si="18"/>
        <v>10</v>
      </c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</row>
    <row r="22" spans="1:82" x14ac:dyDescent="0.25">
      <c r="A22" s="20" t="s">
        <v>34</v>
      </c>
      <c r="B22" s="29">
        <f t="shared" si="0"/>
        <v>64</v>
      </c>
      <c r="C22" s="22">
        <v>57</v>
      </c>
      <c r="D22" s="38">
        <v>207</v>
      </c>
      <c r="E22" s="23">
        <f t="shared" si="1"/>
        <v>264</v>
      </c>
      <c r="F22" s="23">
        <v>97</v>
      </c>
      <c r="G22" s="14">
        <v>350</v>
      </c>
      <c r="H22" s="14">
        <f t="shared" si="2"/>
        <v>447</v>
      </c>
      <c r="I22" s="15">
        <f t="shared" si="3"/>
        <v>41</v>
      </c>
      <c r="J22" s="15">
        <v>52</v>
      </c>
      <c r="K22" s="11">
        <v>60</v>
      </c>
      <c r="L22" s="31">
        <f t="shared" si="4"/>
        <v>-8</v>
      </c>
      <c r="M22" s="23" t="s">
        <v>30</v>
      </c>
      <c r="N22" s="25" t="s">
        <v>11</v>
      </c>
      <c r="O22" s="38">
        <v>600</v>
      </c>
      <c r="P22" s="138">
        <v>100000</v>
      </c>
      <c r="Q22" s="82"/>
      <c r="R22" s="5"/>
      <c r="S22" s="155"/>
      <c r="T22" s="186" cm="1">
        <f t="array" ref="T22">getColor(C22,"index")</f>
        <v>6</v>
      </c>
      <c r="U22" s="186" cm="1">
        <f t="array" ref="U22">getColor(D22,"index")</f>
        <v>44</v>
      </c>
      <c r="V22" s="186" cm="1">
        <f t="array" ref="V22">getColor(E22,"index")</f>
        <v>44</v>
      </c>
      <c r="W22" s="186" cm="1">
        <f t="array" ref="W22">getColor(F22,"index")</f>
        <v>44</v>
      </c>
      <c r="X22" s="186" cm="1">
        <f t="array" ref="X22">getColor(G22,"index")</f>
        <v>49</v>
      </c>
      <c r="Y22" s="186" cm="1">
        <f t="array" ref="Y22">getColor(H22,"index")</f>
        <v>49</v>
      </c>
      <c r="Z22" s="186" cm="1">
        <f t="array" ref="Z22">getColor(I22,"index")</f>
        <v>6</v>
      </c>
      <c r="AA22" s="186" cm="1">
        <f t="array" ref="AA22">getColor(J22,"index")</f>
        <v>6</v>
      </c>
      <c r="AB22" s="186" cm="1">
        <f t="array" ref="AB22">getColor(K22,"index")</f>
        <v>43</v>
      </c>
      <c r="AC22" s="186" cm="1">
        <f t="array" ref="AC22">getColor(L22,"index")</f>
        <v>3</v>
      </c>
      <c r="AD22" s="186" cm="1">
        <f t="array" ref="AD22">getColor(M22,"index")</f>
        <v>44</v>
      </c>
      <c r="AE22" s="186" cm="1">
        <f t="array" ref="AE22">getColor(N22,"index")</f>
        <v>14</v>
      </c>
      <c r="AF22" s="186" cm="1">
        <f t="array" ref="AF22">getColor(O22,"index")</f>
        <v>44</v>
      </c>
      <c r="AG22" s="186" cm="1">
        <f t="array" ref="AG22">getColor(P22,"index")</f>
        <v>14</v>
      </c>
      <c r="AH22" s="177"/>
      <c r="AI22" s="5"/>
      <c r="AJ22" s="7">
        <f t="shared" si="17"/>
        <v>6</v>
      </c>
      <c r="AK22" s="7">
        <f t="shared" si="5"/>
        <v>4</v>
      </c>
      <c r="AL22" s="7">
        <f t="shared" si="6"/>
        <v>4</v>
      </c>
      <c r="AM22" s="7">
        <f t="shared" si="7"/>
        <v>4</v>
      </c>
      <c r="AN22" s="7">
        <f t="shared" si="8"/>
        <v>-2</v>
      </c>
      <c r="AO22" s="7">
        <f t="shared" si="9"/>
        <v>-2</v>
      </c>
      <c r="AP22" s="7">
        <f t="shared" si="10"/>
        <v>6</v>
      </c>
      <c r="AQ22" s="7">
        <f t="shared" si="11"/>
        <v>6</v>
      </c>
      <c r="AR22" s="7">
        <f t="shared" si="12"/>
        <v>8</v>
      </c>
      <c r="AS22" s="7">
        <f t="shared" si="13"/>
        <v>2</v>
      </c>
      <c r="AT22" s="7">
        <f t="shared" si="14"/>
        <v>4</v>
      </c>
      <c r="AU22" s="7">
        <f t="shared" si="15"/>
        <v>10</v>
      </c>
      <c r="AV22" s="7">
        <f t="shared" si="16"/>
        <v>4</v>
      </c>
      <c r="AW22" s="7">
        <f t="shared" si="18"/>
        <v>10</v>
      </c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</row>
    <row r="23" spans="1:82" x14ac:dyDescent="0.25">
      <c r="A23" s="20" t="s">
        <v>23</v>
      </c>
      <c r="B23" s="29">
        <f t="shared" si="0"/>
        <v>64</v>
      </c>
      <c r="C23" s="22">
        <v>66</v>
      </c>
      <c r="D23" s="22">
        <v>152</v>
      </c>
      <c r="E23" s="15">
        <f t="shared" si="1"/>
        <v>218</v>
      </c>
      <c r="F23" s="14">
        <v>193</v>
      </c>
      <c r="G23" s="14">
        <v>448</v>
      </c>
      <c r="H23" s="14">
        <f t="shared" si="2"/>
        <v>641</v>
      </c>
      <c r="I23" s="11">
        <f t="shared" si="3"/>
        <v>66</v>
      </c>
      <c r="J23" s="11">
        <v>63</v>
      </c>
      <c r="K23" s="15">
        <v>42</v>
      </c>
      <c r="L23" s="11">
        <f t="shared" si="4"/>
        <v>21</v>
      </c>
      <c r="M23" s="35" t="s">
        <v>22</v>
      </c>
      <c r="N23" s="15" t="s">
        <v>9</v>
      </c>
      <c r="O23" s="38">
        <v>600</v>
      </c>
      <c r="P23" s="140">
        <v>250000</v>
      </c>
      <c r="Q23" s="82"/>
      <c r="R23" s="5"/>
      <c r="S23" s="155"/>
      <c r="T23" s="186" cm="1">
        <f t="array" ref="T23">getColor(C23,"index")</f>
        <v>6</v>
      </c>
      <c r="U23" s="186" cm="1">
        <f t="array" ref="U23">getColor(D23,"index")</f>
        <v>6</v>
      </c>
      <c r="V23" s="186" cm="1">
        <f t="array" ref="V23">getColor(E23,"index")</f>
        <v>6</v>
      </c>
      <c r="W23" s="186" cm="1">
        <f t="array" ref="W23">getColor(F23,"index")</f>
        <v>49</v>
      </c>
      <c r="X23" s="186" cm="1">
        <f t="array" ref="X23">getColor(G23,"index")</f>
        <v>49</v>
      </c>
      <c r="Y23" s="186" cm="1">
        <f t="array" ref="Y23">getColor(H23,"index")</f>
        <v>49</v>
      </c>
      <c r="Z23" s="186" cm="1">
        <f t="array" ref="Z23">getColor(I23,"index")</f>
        <v>43</v>
      </c>
      <c r="AA23" s="186" cm="1">
        <f t="array" ref="AA23">getColor(J23,"index")</f>
        <v>43</v>
      </c>
      <c r="AB23" s="186" cm="1">
        <f t="array" ref="AB23">getColor(K23,"index")</f>
        <v>6</v>
      </c>
      <c r="AC23" s="186" cm="1">
        <f t="array" ref="AC23">getColor(L23,"index")</f>
        <v>43</v>
      </c>
      <c r="AD23" s="186" cm="1">
        <f t="array" ref="AD23">getColor(M23,"index")</f>
        <v>44</v>
      </c>
      <c r="AE23" s="186" cm="1">
        <f t="array" ref="AE23">getColor(N23,"index")</f>
        <v>6</v>
      </c>
      <c r="AF23" s="186" cm="1">
        <f t="array" ref="AF23">getColor(O23,"index")</f>
        <v>44</v>
      </c>
      <c r="AG23" s="186" cm="1">
        <f t="array" ref="AG23">getColor(P23,"index")</f>
        <v>43</v>
      </c>
      <c r="AH23" s="177"/>
      <c r="AI23" s="5"/>
      <c r="AJ23" s="7">
        <f t="shared" si="17"/>
        <v>6</v>
      </c>
      <c r="AK23" s="7">
        <f t="shared" si="5"/>
        <v>6</v>
      </c>
      <c r="AL23" s="7">
        <f t="shared" si="6"/>
        <v>6</v>
      </c>
      <c r="AM23" s="7">
        <f t="shared" si="7"/>
        <v>-2</v>
      </c>
      <c r="AN23" s="7">
        <f t="shared" si="8"/>
        <v>-2</v>
      </c>
      <c r="AO23" s="7">
        <f t="shared" si="9"/>
        <v>-2</v>
      </c>
      <c r="AP23" s="7">
        <f t="shared" si="10"/>
        <v>8</v>
      </c>
      <c r="AQ23" s="7">
        <f t="shared" si="11"/>
        <v>8</v>
      </c>
      <c r="AR23" s="7">
        <f t="shared" si="12"/>
        <v>6</v>
      </c>
      <c r="AS23" s="7">
        <f t="shared" si="13"/>
        <v>8</v>
      </c>
      <c r="AT23" s="7">
        <f t="shared" si="14"/>
        <v>4</v>
      </c>
      <c r="AU23" s="7">
        <f t="shared" si="15"/>
        <v>6</v>
      </c>
      <c r="AV23" s="7">
        <f t="shared" si="16"/>
        <v>4</v>
      </c>
      <c r="AW23" s="7">
        <f t="shared" si="18"/>
        <v>8</v>
      </c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</row>
    <row r="24" spans="1:82" x14ac:dyDescent="0.25">
      <c r="A24" s="20" t="s">
        <v>118</v>
      </c>
      <c r="B24" s="29">
        <f t="shared" si="0"/>
        <v>64</v>
      </c>
      <c r="C24" s="37">
        <v>220</v>
      </c>
      <c r="D24" s="32">
        <v>174</v>
      </c>
      <c r="E24" s="42">
        <f t="shared" si="1"/>
        <v>394</v>
      </c>
      <c r="F24" s="14">
        <v>338</v>
      </c>
      <c r="G24" s="31">
        <v>269</v>
      </c>
      <c r="H24" s="14">
        <f t="shared" si="2"/>
        <v>607</v>
      </c>
      <c r="I24" s="33">
        <f t="shared" si="3"/>
        <v>35</v>
      </c>
      <c r="J24" s="27">
        <v>97</v>
      </c>
      <c r="K24" s="27">
        <v>88</v>
      </c>
      <c r="L24" s="33">
        <f t="shared" si="4"/>
        <v>9</v>
      </c>
      <c r="M24" s="23" t="s">
        <v>139</v>
      </c>
      <c r="N24" s="25" t="s">
        <v>93</v>
      </c>
      <c r="O24" s="27">
        <v>1200</v>
      </c>
      <c r="P24" s="143">
        <v>80000</v>
      </c>
      <c r="Q24" s="82"/>
      <c r="R24" s="5"/>
      <c r="S24" s="155"/>
      <c r="T24" s="186" cm="1">
        <f t="array" ref="T24">getColor(C24,"index")</f>
        <v>49</v>
      </c>
      <c r="U24" s="186" cm="1">
        <f t="array" ref="U24">getColor(D24,"index")</f>
        <v>6</v>
      </c>
      <c r="V24" s="186" cm="1">
        <f t="array" ref="V24">getColor(E24,"index")</f>
        <v>33</v>
      </c>
      <c r="W24" s="186" cm="1">
        <f t="array" ref="W24">getColor(F24,"index")</f>
        <v>49</v>
      </c>
      <c r="X24" s="186" cm="1">
        <f t="array" ref="X24">getColor(G24,"index")</f>
        <v>3</v>
      </c>
      <c r="Y24" s="186" cm="1">
        <f t="array" ref="Y24">getColor(H24,"index")</f>
        <v>49</v>
      </c>
      <c r="Z24" s="186" cm="1">
        <f t="array" ref="Z24">getColor(I24,"index")</f>
        <v>44</v>
      </c>
      <c r="AA24" s="186" cm="1">
        <f t="array" ref="AA24">getColor(J24,"index")</f>
        <v>14</v>
      </c>
      <c r="AB24" s="186" cm="1">
        <f t="array" ref="AB24">getColor(K24,"index")</f>
        <v>14</v>
      </c>
      <c r="AC24" s="186" cm="1">
        <f t="array" ref="AC24">getColor(L24,"index")</f>
        <v>44</v>
      </c>
      <c r="AD24" s="186" cm="1">
        <f t="array" ref="AD24">getColor(M24,"index")</f>
        <v>44</v>
      </c>
      <c r="AE24" s="186" cm="1">
        <f t="array" ref="AE24">getColor(N24,"index")</f>
        <v>14</v>
      </c>
      <c r="AF24" s="186" cm="1">
        <f t="array" ref="AF24">getColor(O24,"index")</f>
        <v>14</v>
      </c>
      <c r="AG24" s="186" cm="1">
        <f t="array" ref="AG24">getColor(P24,"index")</f>
        <v>14</v>
      </c>
      <c r="AH24" s="177"/>
      <c r="AI24" s="5"/>
      <c r="AJ24" s="7">
        <f t="shared" si="17"/>
        <v>-2</v>
      </c>
      <c r="AK24" s="7">
        <f t="shared" si="5"/>
        <v>6</v>
      </c>
      <c r="AL24" s="7">
        <f t="shared" si="6"/>
        <v>0</v>
      </c>
      <c r="AM24" s="7">
        <f t="shared" si="7"/>
        <v>-2</v>
      </c>
      <c r="AN24" s="7">
        <f t="shared" si="8"/>
        <v>2</v>
      </c>
      <c r="AO24" s="7">
        <f t="shared" si="9"/>
        <v>-2</v>
      </c>
      <c r="AP24" s="7">
        <f t="shared" si="10"/>
        <v>4</v>
      </c>
      <c r="AQ24" s="7">
        <f t="shared" si="11"/>
        <v>10</v>
      </c>
      <c r="AR24" s="7">
        <f t="shared" si="12"/>
        <v>10</v>
      </c>
      <c r="AS24" s="7">
        <f t="shared" si="13"/>
        <v>4</v>
      </c>
      <c r="AT24" s="7">
        <f t="shared" si="14"/>
        <v>4</v>
      </c>
      <c r="AU24" s="7">
        <f t="shared" si="15"/>
        <v>10</v>
      </c>
      <c r="AV24" s="7">
        <f t="shared" si="16"/>
        <v>10</v>
      </c>
      <c r="AW24" s="7">
        <f t="shared" si="18"/>
        <v>10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</row>
    <row r="25" spans="1:82" x14ac:dyDescent="0.25">
      <c r="A25" s="8" t="s">
        <v>24</v>
      </c>
      <c r="B25" s="29">
        <f t="shared" si="0"/>
        <v>62</v>
      </c>
      <c r="C25" s="29">
        <v>66</v>
      </c>
      <c r="D25" s="29">
        <v>152</v>
      </c>
      <c r="E25" s="15">
        <f t="shared" si="1"/>
        <v>218</v>
      </c>
      <c r="F25" s="13">
        <v>193</v>
      </c>
      <c r="G25" s="13">
        <v>448</v>
      </c>
      <c r="H25" s="14">
        <f t="shared" si="2"/>
        <v>641</v>
      </c>
      <c r="I25" s="11">
        <f t="shared" si="3"/>
        <v>66</v>
      </c>
      <c r="J25" s="12">
        <v>47</v>
      </c>
      <c r="K25" s="35">
        <v>26</v>
      </c>
      <c r="L25" s="11">
        <f t="shared" si="4"/>
        <v>21</v>
      </c>
      <c r="M25" s="35" t="s">
        <v>22</v>
      </c>
      <c r="N25" s="16" t="s">
        <v>11</v>
      </c>
      <c r="O25" s="34">
        <v>600</v>
      </c>
      <c r="P25" s="41">
        <v>300000</v>
      </c>
      <c r="Q25" s="82"/>
      <c r="R25" s="5"/>
      <c r="S25" s="155"/>
      <c r="T25" s="186" cm="1">
        <f t="array" ref="T25">getColor(C25,"index")</f>
        <v>6</v>
      </c>
      <c r="U25" s="186" cm="1">
        <f t="array" ref="U25">getColor(D25,"index")</f>
        <v>6</v>
      </c>
      <c r="V25" s="186" cm="1">
        <f t="array" ref="V25">getColor(E25,"index")</f>
        <v>6</v>
      </c>
      <c r="W25" s="186" cm="1">
        <f t="array" ref="W25">getColor(F25,"index")</f>
        <v>49</v>
      </c>
      <c r="X25" s="186" cm="1">
        <f t="array" ref="X25">getColor(G25,"index")</f>
        <v>49</v>
      </c>
      <c r="Y25" s="186" cm="1">
        <f t="array" ref="Y25">getColor(H25,"index")</f>
        <v>49</v>
      </c>
      <c r="Z25" s="186" cm="1">
        <f t="array" ref="Z25">getColor(I25,"index")</f>
        <v>43</v>
      </c>
      <c r="AA25" s="186" cm="1">
        <f t="array" ref="AA25">getColor(J25,"index")</f>
        <v>6</v>
      </c>
      <c r="AB25" s="186" cm="1">
        <f t="array" ref="AB25">getColor(K25,"index")</f>
        <v>44</v>
      </c>
      <c r="AC25" s="186" cm="1">
        <f t="array" ref="AC25">getColor(L25,"index")</f>
        <v>43</v>
      </c>
      <c r="AD25" s="186" cm="1">
        <f t="array" ref="AD25">getColor(M25,"index")</f>
        <v>44</v>
      </c>
      <c r="AE25" s="186" cm="1">
        <f t="array" ref="AE25">getColor(N25,"index")</f>
        <v>14</v>
      </c>
      <c r="AF25" s="186" cm="1">
        <f t="array" ref="AF25">getColor(O25,"index")</f>
        <v>44</v>
      </c>
      <c r="AG25" s="186" cm="1">
        <f t="array" ref="AG25">getColor(P25,"index")</f>
        <v>6</v>
      </c>
      <c r="AH25" s="177"/>
      <c r="AI25" s="5"/>
      <c r="AJ25" s="7">
        <f t="shared" si="17"/>
        <v>6</v>
      </c>
      <c r="AK25" s="7">
        <f t="shared" si="5"/>
        <v>6</v>
      </c>
      <c r="AL25" s="7">
        <f t="shared" si="6"/>
        <v>6</v>
      </c>
      <c r="AM25" s="7">
        <f t="shared" si="7"/>
        <v>-2</v>
      </c>
      <c r="AN25" s="7">
        <f t="shared" si="8"/>
        <v>-2</v>
      </c>
      <c r="AO25" s="7">
        <f t="shared" si="9"/>
        <v>-2</v>
      </c>
      <c r="AP25" s="7">
        <f t="shared" si="10"/>
        <v>8</v>
      </c>
      <c r="AQ25" s="7">
        <f t="shared" si="11"/>
        <v>6</v>
      </c>
      <c r="AR25" s="7">
        <f t="shared" si="12"/>
        <v>4</v>
      </c>
      <c r="AS25" s="7">
        <f t="shared" si="13"/>
        <v>8</v>
      </c>
      <c r="AT25" s="7">
        <f t="shared" si="14"/>
        <v>4</v>
      </c>
      <c r="AU25" s="7">
        <f t="shared" si="15"/>
        <v>10</v>
      </c>
      <c r="AV25" s="7">
        <f t="shared" si="16"/>
        <v>4</v>
      </c>
      <c r="AW25" s="7">
        <f t="shared" si="18"/>
        <v>6</v>
      </c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</row>
    <row r="26" spans="1:82" x14ac:dyDescent="0.25">
      <c r="A26" s="20" t="s">
        <v>20</v>
      </c>
      <c r="B26" s="29">
        <f t="shared" si="0"/>
        <v>60</v>
      </c>
      <c r="C26" s="38">
        <v>76</v>
      </c>
      <c r="D26" s="22">
        <v>180</v>
      </c>
      <c r="E26" s="23">
        <f t="shared" si="1"/>
        <v>256</v>
      </c>
      <c r="F26" s="31">
        <v>125</v>
      </c>
      <c r="G26" s="24">
        <v>295</v>
      </c>
      <c r="H26" s="14">
        <f t="shared" si="2"/>
        <v>420</v>
      </c>
      <c r="I26" s="23">
        <f t="shared" si="3"/>
        <v>39</v>
      </c>
      <c r="J26" s="15">
        <v>58</v>
      </c>
      <c r="K26" s="11">
        <v>72</v>
      </c>
      <c r="L26" s="24">
        <f t="shared" si="4"/>
        <v>-14</v>
      </c>
      <c r="M26" s="11" t="s">
        <v>8</v>
      </c>
      <c r="N26" s="25" t="s">
        <v>11</v>
      </c>
      <c r="O26" s="22">
        <v>650</v>
      </c>
      <c r="P26" s="139">
        <v>325000</v>
      </c>
      <c r="Q26" s="82"/>
      <c r="R26" s="5"/>
      <c r="S26" s="155"/>
      <c r="T26" s="186" cm="1">
        <f t="array" ref="T26">getColor(C26,"index")</f>
        <v>44</v>
      </c>
      <c r="U26" s="186" cm="1">
        <f t="array" ref="U26">getColor(D26,"index")</f>
        <v>6</v>
      </c>
      <c r="V26" s="186" cm="1">
        <f t="array" ref="V26">getColor(E26,"index")</f>
        <v>44</v>
      </c>
      <c r="W26" s="186" cm="1">
        <f t="array" ref="W26">getColor(F26,"index")</f>
        <v>3</v>
      </c>
      <c r="X26" s="186" cm="1">
        <f t="array" ref="X26">getColor(G26,"index")</f>
        <v>33</v>
      </c>
      <c r="Y26" s="186" cm="1">
        <f t="array" ref="Y26">getColor(H26,"index")</f>
        <v>49</v>
      </c>
      <c r="Z26" s="186" cm="1">
        <f t="array" ref="Z26">getColor(I26,"index")</f>
        <v>44</v>
      </c>
      <c r="AA26" s="186" cm="1">
        <f t="array" ref="AA26">getColor(J26,"index")</f>
        <v>6</v>
      </c>
      <c r="AB26" s="186" cm="1">
        <f t="array" ref="AB26">getColor(K26,"index")</f>
        <v>43</v>
      </c>
      <c r="AC26" s="186" cm="1">
        <f t="array" ref="AC26">getColor(L26,"index")</f>
        <v>33</v>
      </c>
      <c r="AD26" s="186" cm="1">
        <f t="array" ref="AD26">getColor(M26,"index")</f>
        <v>43</v>
      </c>
      <c r="AE26" s="186" cm="1">
        <f t="array" ref="AE26">getColor(N26,"index")</f>
        <v>14</v>
      </c>
      <c r="AF26" s="186" cm="1">
        <f t="array" ref="AF26">getColor(O26,"index")</f>
        <v>6</v>
      </c>
      <c r="AG26" s="186" cm="1">
        <f t="array" ref="AG26">getColor(P26,"index")</f>
        <v>44</v>
      </c>
      <c r="AH26" s="177"/>
      <c r="AI26" s="5"/>
      <c r="AJ26" s="7">
        <f t="shared" si="17"/>
        <v>4</v>
      </c>
      <c r="AK26" s="7">
        <f t="shared" si="5"/>
        <v>6</v>
      </c>
      <c r="AL26" s="7">
        <f t="shared" si="6"/>
        <v>4</v>
      </c>
      <c r="AM26" s="7">
        <f t="shared" si="7"/>
        <v>2</v>
      </c>
      <c r="AN26" s="7">
        <f t="shared" si="8"/>
        <v>0</v>
      </c>
      <c r="AO26" s="7">
        <f t="shared" si="9"/>
        <v>-2</v>
      </c>
      <c r="AP26" s="7">
        <f t="shared" si="10"/>
        <v>4</v>
      </c>
      <c r="AQ26" s="7">
        <f t="shared" si="11"/>
        <v>6</v>
      </c>
      <c r="AR26" s="7">
        <f t="shared" si="12"/>
        <v>8</v>
      </c>
      <c r="AS26" s="7">
        <f t="shared" si="13"/>
        <v>0</v>
      </c>
      <c r="AT26" s="7">
        <f t="shared" si="14"/>
        <v>8</v>
      </c>
      <c r="AU26" s="7">
        <f t="shared" si="15"/>
        <v>10</v>
      </c>
      <c r="AV26" s="7">
        <f t="shared" si="16"/>
        <v>6</v>
      </c>
      <c r="AW26" s="7">
        <f t="shared" si="18"/>
        <v>4</v>
      </c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</row>
    <row r="27" spans="1:82" x14ac:dyDescent="0.25">
      <c r="A27" s="20" t="s">
        <v>25</v>
      </c>
      <c r="B27" s="34">
        <f t="shared" si="0"/>
        <v>54</v>
      </c>
      <c r="C27" s="38">
        <v>84</v>
      </c>
      <c r="D27" s="22">
        <v>184</v>
      </c>
      <c r="E27" s="23">
        <f t="shared" si="1"/>
        <v>268</v>
      </c>
      <c r="F27" s="14">
        <v>182</v>
      </c>
      <c r="G27" s="14">
        <v>400</v>
      </c>
      <c r="H27" s="14">
        <f t="shared" si="2"/>
        <v>582</v>
      </c>
      <c r="I27" s="15">
        <f t="shared" si="3"/>
        <v>54</v>
      </c>
      <c r="J27" s="11">
        <v>72</v>
      </c>
      <c r="K27" s="15">
        <v>43</v>
      </c>
      <c r="L27" s="11">
        <f t="shared" si="4"/>
        <v>29</v>
      </c>
      <c r="M27" s="35" t="s">
        <v>22</v>
      </c>
      <c r="N27" s="15" t="s">
        <v>9</v>
      </c>
      <c r="O27" s="39">
        <v>40</v>
      </c>
      <c r="P27" s="138">
        <v>170000</v>
      </c>
      <c r="Q27" s="82"/>
      <c r="R27" s="5"/>
      <c r="S27" s="155"/>
      <c r="T27" s="186" cm="1">
        <f t="array" ref="T27">getColor(C27,"index")</f>
        <v>44</v>
      </c>
      <c r="U27" s="186" cm="1">
        <f t="array" ref="U27">getColor(D27,"index")</f>
        <v>6</v>
      </c>
      <c r="V27" s="186" cm="1">
        <f t="array" ref="V27">getColor(E27,"index")</f>
        <v>44</v>
      </c>
      <c r="W27" s="186" cm="1">
        <f t="array" ref="W27">getColor(F27,"index")</f>
        <v>49</v>
      </c>
      <c r="X27" s="186" cm="1">
        <f t="array" ref="X27">getColor(G27,"index")</f>
        <v>49</v>
      </c>
      <c r="Y27" s="186" cm="1">
        <f t="array" ref="Y27">getColor(H27,"index")</f>
        <v>49</v>
      </c>
      <c r="Z27" s="186" cm="1">
        <f t="array" ref="Z27">getColor(I27,"index")</f>
        <v>6</v>
      </c>
      <c r="AA27" s="186" cm="1">
        <f t="array" ref="AA27">getColor(J27,"index")</f>
        <v>43</v>
      </c>
      <c r="AB27" s="186" cm="1">
        <f t="array" ref="AB27">getColor(K27,"index")</f>
        <v>6</v>
      </c>
      <c r="AC27" s="186" cm="1">
        <f t="array" ref="AC27">getColor(L27,"index")</f>
        <v>43</v>
      </c>
      <c r="AD27" s="186" cm="1">
        <f t="array" ref="AD27">getColor(M27,"index")</f>
        <v>44</v>
      </c>
      <c r="AE27" s="186" cm="1">
        <f t="array" ref="AE27">getColor(N27,"index")</f>
        <v>6</v>
      </c>
      <c r="AF27" s="186" cm="1">
        <f t="array" ref="AF27">getColor(O27,"index")</f>
        <v>49</v>
      </c>
      <c r="AG27" s="186" cm="1">
        <f t="array" ref="AG27">getColor(P27,"index")</f>
        <v>14</v>
      </c>
      <c r="AH27" s="177"/>
      <c r="AI27" s="5"/>
      <c r="AJ27" s="7">
        <f t="shared" si="17"/>
        <v>4</v>
      </c>
      <c r="AK27" s="7">
        <f t="shared" si="5"/>
        <v>6</v>
      </c>
      <c r="AL27" s="7">
        <f t="shared" si="6"/>
        <v>4</v>
      </c>
      <c r="AM27" s="7">
        <f t="shared" si="7"/>
        <v>-2</v>
      </c>
      <c r="AN27" s="7">
        <f t="shared" si="8"/>
        <v>-2</v>
      </c>
      <c r="AO27" s="7">
        <f t="shared" si="9"/>
        <v>-2</v>
      </c>
      <c r="AP27" s="7">
        <f t="shared" si="10"/>
        <v>6</v>
      </c>
      <c r="AQ27" s="7">
        <f t="shared" si="11"/>
        <v>8</v>
      </c>
      <c r="AR27" s="7">
        <f t="shared" si="12"/>
        <v>6</v>
      </c>
      <c r="AS27" s="7">
        <f t="shared" si="13"/>
        <v>8</v>
      </c>
      <c r="AT27" s="7">
        <f t="shared" si="14"/>
        <v>4</v>
      </c>
      <c r="AU27" s="7">
        <f t="shared" si="15"/>
        <v>6</v>
      </c>
      <c r="AV27" s="7">
        <f t="shared" si="16"/>
        <v>-2</v>
      </c>
      <c r="AW27" s="7">
        <f t="shared" si="18"/>
        <v>10</v>
      </c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</row>
    <row r="28" spans="1:82" x14ac:dyDescent="0.25">
      <c r="A28" s="20" t="s">
        <v>40</v>
      </c>
      <c r="B28" s="34">
        <f t="shared" si="0"/>
        <v>54</v>
      </c>
      <c r="C28" s="45">
        <v>111</v>
      </c>
      <c r="D28" s="22">
        <v>196</v>
      </c>
      <c r="E28" s="31">
        <f t="shared" si="1"/>
        <v>307</v>
      </c>
      <c r="F28" s="14">
        <v>173</v>
      </c>
      <c r="G28" s="14">
        <v>307</v>
      </c>
      <c r="H28" s="14">
        <f t="shared" si="2"/>
        <v>480</v>
      </c>
      <c r="I28" s="23">
        <f t="shared" si="3"/>
        <v>36</v>
      </c>
      <c r="J28" s="15">
        <v>46</v>
      </c>
      <c r="K28" s="15">
        <v>48</v>
      </c>
      <c r="L28" s="31">
        <f t="shared" si="4"/>
        <v>-2</v>
      </c>
      <c r="M28" s="11" t="s">
        <v>8</v>
      </c>
      <c r="N28" s="15" t="s">
        <v>9</v>
      </c>
      <c r="O28" s="21">
        <v>700</v>
      </c>
      <c r="P28" s="138">
        <v>170000</v>
      </c>
      <c r="Q28" s="82"/>
      <c r="R28" s="5"/>
      <c r="S28" s="155"/>
      <c r="T28" s="186" cm="1">
        <f t="array" ref="T28">getColor(C28,"index")</f>
        <v>3</v>
      </c>
      <c r="U28" s="186" cm="1">
        <f t="array" ref="U28">getColor(D28,"index")</f>
        <v>6</v>
      </c>
      <c r="V28" s="186" cm="1">
        <f t="array" ref="V28">getColor(E28,"index")</f>
        <v>3</v>
      </c>
      <c r="W28" s="186" cm="1">
        <f t="array" ref="W28">getColor(F28,"index")</f>
        <v>49</v>
      </c>
      <c r="X28" s="186" cm="1">
        <f t="array" ref="X28">getColor(G28,"index")</f>
        <v>49</v>
      </c>
      <c r="Y28" s="186" cm="1">
        <f t="array" ref="Y28">getColor(H28,"index")</f>
        <v>49</v>
      </c>
      <c r="Z28" s="186" cm="1">
        <f t="array" ref="Z28">getColor(I28,"index")</f>
        <v>44</v>
      </c>
      <c r="AA28" s="186" cm="1">
        <f t="array" ref="AA28">getColor(J28,"index")</f>
        <v>6</v>
      </c>
      <c r="AB28" s="186" cm="1">
        <f t="array" ref="AB28">getColor(K28,"index")</f>
        <v>6</v>
      </c>
      <c r="AC28" s="186" cm="1">
        <f t="array" ref="AC28">getColor(L28,"index")</f>
        <v>3</v>
      </c>
      <c r="AD28" s="186" cm="1">
        <f t="array" ref="AD28">getColor(M28,"index")</f>
        <v>43</v>
      </c>
      <c r="AE28" s="186" cm="1">
        <f t="array" ref="AE28">getColor(N28,"index")</f>
        <v>6</v>
      </c>
      <c r="AF28" s="186" cm="1">
        <f t="array" ref="AF28">getColor(O28,"index")</f>
        <v>43</v>
      </c>
      <c r="AG28" s="186" cm="1">
        <f t="array" ref="AG28">getColor(P28,"index")</f>
        <v>14</v>
      </c>
      <c r="AH28" s="177"/>
      <c r="AI28" s="5"/>
      <c r="AJ28" s="7">
        <f t="shared" si="17"/>
        <v>2</v>
      </c>
      <c r="AK28" s="7">
        <f t="shared" si="5"/>
        <v>6</v>
      </c>
      <c r="AL28" s="7">
        <f t="shared" si="6"/>
        <v>2</v>
      </c>
      <c r="AM28" s="7">
        <f t="shared" si="7"/>
        <v>-2</v>
      </c>
      <c r="AN28" s="7">
        <f t="shared" si="8"/>
        <v>-2</v>
      </c>
      <c r="AO28" s="7">
        <f t="shared" si="9"/>
        <v>-2</v>
      </c>
      <c r="AP28" s="7">
        <f t="shared" si="10"/>
        <v>4</v>
      </c>
      <c r="AQ28" s="7">
        <f t="shared" si="11"/>
        <v>6</v>
      </c>
      <c r="AR28" s="7">
        <f t="shared" si="12"/>
        <v>6</v>
      </c>
      <c r="AS28" s="7">
        <f t="shared" si="13"/>
        <v>2</v>
      </c>
      <c r="AT28" s="7">
        <f t="shared" si="14"/>
        <v>8</v>
      </c>
      <c r="AU28" s="7">
        <f t="shared" si="15"/>
        <v>6</v>
      </c>
      <c r="AV28" s="7">
        <f t="shared" si="16"/>
        <v>8</v>
      </c>
      <c r="AW28" s="7">
        <f t="shared" si="18"/>
        <v>10</v>
      </c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</row>
    <row r="29" spans="1:82" x14ac:dyDescent="0.25">
      <c r="A29" s="8" t="s">
        <v>41</v>
      </c>
      <c r="B29" s="34">
        <f t="shared" si="0"/>
        <v>52</v>
      </c>
      <c r="C29" s="46">
        <v>116</v>
      </c>
      <c r="D29" s="29">
        <v>194</v>
      </c>
      <c r="E29" s="31">
        <f t="shared" si="1"/>
        <v>310</v>
      </c>
      <c r="F29" s="13">
        <v>290</v>
      </c>
      <c r="G29" s="13">
        <v>485</v>
      </c>
      <c r="H29" s="14">
        <f t="shared" si="2"/>
        <v>775</v>
      </c>
      <c r="I29" s="11">
        <f t="shared" si="3"/>
        <v>60</v>
      </c>
      <c r="J29" s="12">
        <v>47</v>
      </c>
      <c r="K29" s="12">
        <v>42</v>
      </c>
      <c r="L29" s="23">
        <f t="shared" si="4"/>
        <v>5</v>
      </c>
      <c r="M29" s="12" t="s">
        <v>42</v>
      </c>
      <c r="N29" s="12" t="s">
        <v>9</v>
      </c>
      <c r="O29" s="34">
        <v>600</v>
      </c>
      <c r="P29" s="36">
        <v>250000</v>
      </c>
      <c r="Q29" s="82"/>
      <c r="R29" s="5"/>
      <c r="S29" s="155"/>
      <c r="T29" s="186" cm="1">
        <f t="array" ref="T29">getColor(C29,"index")</f>
        <v>3</v>
      </c>
      <c r="U29" s="186" cm="1">
        <f t="array" ref="U29">getColor(D29,"index")</f>
        <v>6</v>
      </c>
      <c r="V29" s="186" cm="1">
        <f t="array" ref="V29">getColor(E29,"index")</f>
        <v>3</v>
      </c>
      <c r="W29" s="186" cm="1">
        <f t="array" ref="W29">getColor(F29,"index")</f>
        <v>49</v>
      </c>
      <c r="X29" s="186" cm="1">
        <f t="array" ref="X29">getColor(G29,"index")</f>
        <v>49</v>
      </c>
      <c r="Y29" s="186" cm="1">
        <f t="array" ref="Y29">getColor(H29,"index")</f>
        <v>49</v>
      </c>
      <c r="Z29" s="186" cm="1">
        <f t="array" ref="Z29">getColor(I29,"index")</f>
        <v>43</v>
      </c>
      <c r="AA29" s="186" cm="1">
        <f t="array" ref="AA29">getColor(J29,"index")</f>
        <v>6</v>
      </c>
      <c r="AB29" s="186" cm="1">
        <f t="array" ref="AB29">getColor(K29,"index")</f>
        <v>6</v>
      </c>
      <c r="AC29" s="186" cm="1">
        <f t="array" ref="AC29">getColor(L29,"index")</f>
        <v>44</v>
      </c>
      <c r="AD29" s="186" cm="1">
        <f t="array" ref="AD29">getColor(M29,"index")</f>
        <v>6</v>
      </c>
      <c r="AE29" s="186" cm="1">
        <f t="array" ref="AE29">getColor(N29,"index")</f>
        <v>6</v>
      </c>
      <c r="AF29" s="186" cm="1">
        <f t="array" ref="AF29">getColor(O29,"index")</f>
        <v>44</v>
      </c>
      <c r="AG29" s="186" cm="1">
        <f t="array" ref="AG29">getColor(P29,"index")</f>
        <v>43</v>
      </c>
      <c r="AH29" s="177"/>
      <c r="AI29" s="5"/>
      <c r="AJ29" s="7">
        <f t="shared" si="17"/>
        <v>2</v>
      </c>
      <c r="AK29" s="7">
        <f t="shared" si="5"/>
        <v>6</v>
      </c>
      <c r="AL29" s="7">
        <f t="shared" si="6"/>
        <v>2</v>
      </c>
      <c r="AM29" s="7">
        <f t="shared" si="7"/>
        <v>-2</v>
      </c>
      <c r="AN29" s="7">
        <f t="shared" si="8"/>
        <v>-2</v>
      </c>
      <c r="AO29" s="7">
        <f t="shared" si="9"/>
        <v>-2</v>
      </c>
      <c r="AP29" s="7">
        <f t="shared" si="10"/>
        <v>8</v>
      </c>
      <c r="AQ29" s="7">
        <f t="shared" si="11"/>
        <v>6</v>
      </c>
      <c r="AR29" s="7">
        <f t="shared" si="12"/>
        <v>6</v>
      </c>
      <c r="AS29" s="7">
        <f t="shared" si="13"/>
        <v>4</v>
      </c>
      <c r="AT29" s="7">
        <f t="shared" si="14"/>
        <v>6</v>
      </c>
      <c r="AU29" s="7">
        <f t="shared" si="15"/>
        <v>6</v>
      </c>
      <c r="AV29" s="7">
        <f t="shared" si="16"/>
        <v>4</v>
      </c>
      <c r="AW29" s="7">
        <f t="shared" si="18"/>
        <v>8</v>
      </c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</row>
    <row r="30" spans="1:82" x14ac:dyDescent="0.25">
      <c r="A30" s="8" t="s">
        <v>39</v>
      </c>
      <c r="B30" s="46">
        <f t="shared" si="0"/>
        <v>44</v>
      </c>
      <c r="C30" s="159">
        <v>130</v>
      </c>
      <c r="D30" s="37">
        <v>385</v>
      </c>
      <c r="E30" s="14">
        <f t="shared" si="1"/>
        <v>515</v>
      </c>
      <c r="F30" s="13">
        <v>180</v>
      </c>
      <c r="G30" s="13">
        <v>535</v>
      </c>
      <c r="H30" s="14">
        <f t="shared" si="2"/>
        <v>715</v>
      </c>
      <c r="I30" s="23">
        <f t="shared" si="3"/>
        <v>28.000000000000004</v>
      </c>
      <c r="J30" s="12">
        <v>57</v>
      </c>
      <c r="K30" s="12">
        <v>55</v>
      </c>
      <c r="L30" s="23">
        <f t="shared" si="4"/>
        <v>2</v>
      </c>
      <c r="M30" s="17" t="s">
        <v>136</v>
      </c>
      <c r="N30" s="16" t="s">
        <v>93</v>
      </c>
      <c r="O30" s="29">
        <v>650</v>
      </c>
      <c r="P30" s="19">
        <v>200000</v>
      </c>
      <c r="Q30" s="82"/>
      <c r="R30" s="5"/>
      <c r="S30" s="155"/>
      <c r="T30" s="186" cm="1">
        <f t="array" ref="T30">getColor(C30,"index")</f>
        <v>33</v>
      </c>
      <c r="U30" s="186" cm="1">
        <f t="array" ref="U30">getColor(D30,"index")</f>
        <v>49</v>
      </c>
      <c r="V30" s="186" cm="1">
        <f t="array" ref="V30">getColor(E30,"index")</f>
        <v>49</v>
      </c>
      <c r="W30" s="186" cm="1">
        <f t="array" ref="W30">getColor(F30,"index")</f>
        <v>49</v>
      </c>
      <c r="X30" s="186" cm="1">
        <f t="array" ref="X30">getColor(G30,"index")</f>
        <v>49</v>
      </c>
      <c r="Y30" s="186" cm="1">
        <f t="array" ref="Y30">getColor(H30,"index")</f>
        <v>49</v>
      </c>
      <c r="Z30" s="186" cm="1">
        <f t="array" ref="Z30">getColor(I30,"index")</f>
        <v>44</v>
      </c>
      <c r="AA30" s="186" cm="1">
        <f t="array" ref="AA30">getColor(J30,"index")</f>
        <v>6</v>
      </c>
      <c r="AB30" s="186" cm="1">
        <f t="array" ref="AB30">getColor(K30,"index")</f>
        <v>6</v>
      </c>
      <c r="AC30" s="186" cm="1">
        <f t="array" ref="AC30">getColor(L30,"index")</f>
        <v>44</v>
      </c>
      <c r="AD30" s="186" cm="1">
        <f t="array" ref="AD30">getColor(M30,"index")</f>
        <v>43</v>
      </c>
      <c r="AE30" s="186" cm="1">
        <f t="array" ref="AE30">getColor(N30,"index")</f>
        <v>14</v>
      </c>
      <c r="AF30" s="186" cm="1">
        <f t="array" ref="AF30">getColor(O30,"index")</f>
        <v>6</v>
      </c>
      <c r="AG30" s="186" cm="1">
        <f t="array" ref="AG30">getColor(P30,"index")</f>
        <v>14</v>
      </c>
      <c r="AH30" s="177"/>
      <c r="AI30" s="5"/>
      <c r="AJ30" s="7">
        <f t="shared" si="17"/>
        <v>0</v>
      </c>
      <c r="AK30" s="7">
        <f t="shared" si="5"/>
        <v>-2</v>
      </c>
      <c r="AL30" s="7">
        <f t="shared" si="6"/>
        <v>-2</v>
      </c>
      <c r="AM30" s="7">
        <f t="shared" si="7"/>
        <v>-2</v>
      </c>
      <c r="AN30" s="7">
        <f t="shared" si="8"/>
        <v>-2</v>
      </c>
      <c r="AO30" s="7">
        <f t="shared" si="9"/>
        <v>-2</v>
      </c>
      <c r="AP30" s="7">
        <f t="shared" si="10"/>
        <v>4</v>
      </c>
      <c r="AQ30" s="7">
        <f t="shared" si="11"/>
        <v>6</v>
      </c>
      <c r="AR30" s="7">
        <f t="shared" si="12"/>
        <v>6</v>
      </c>
      <c r="AS30" s="7">
        <f t="shared" si="13"/>
        <v>4</v>
      </c>
      <c r="AT30" s="7">
        <f t="shared" si="14"/>
        <v>8</v>
      </c>
      <c r="AU30" s="7">
        <f t="shared" si="15"/>
        <v>10</v>
      </c>
      <c r="AV30" s="7">
        <f t="shared" si="16"/>
        <v>6</v>
      </c>
      <c r="AW30" s="7">
        <f t="shared" si="18"/>
        <v>10</v>
      </c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</row>
    <row r="31" spans="1:82" x14ac:dyDescent="0.25">
      <c r="A31" s="158" t="s">
        <v>27</v>
      </c>
      <c r="B31" s="144">
        <f t="shared" si="0"/>
        <v>40</v>
      </c>
      <c r="C31" s="160">
        <v>133</v>
      </c>
      <c r="D31" s="160">
        <v>293</v>
      </c>
      <c r="E31" s="47">
        <f t="shared" si="1"/>
        <v>426</v>
      </c>
      <c r="F31" s="47">
        <v>340</v>
      </c>
      <c r="G31" s="47">
        <v>750</v>
      </c>
      <c r="H31" s="47">
        <f t="shared" si="2"/>
        <v>1090</v>
      </c>
      <c r="I31" s="161">
        <f t="shared" si="3"/>
        <v>61</v>
      </c>
      <c r="J31" s="48">
        <v>20</v>
      </c>
      <c r="K31" s="48">
        <v>32</v>
      </c>
      <c r="L31" s="162">
        <f t="shared" si="4"/>
        <v>-12</v>
      </c>
      <c r="M31" s="102" t="s">
        <v>28</v>
      </c>
      <c r="N31" s="163" t="s">
        <v>9</v>
      </c>
      <c r="O31" s="164">
        <v>700</v>
      </c>
      <c r="P31" s="165">
        <v>230000</v>
      </c>
      <c r="Q31" s="82"/>
      <c r="R31" s="5"/>
      <c r="S31" s="155"/>
      <c r="T31" s="186" cm="1">
        <f t="array" ref="T31">getColor(C31,"index")</f>
        <v>33</v>
      </c>
      <c r="U31" s="186" cm="1">
        <f t="array" ref="U31">getColor(D31,"index")</f>
        <v>33</v>
      </c>
      <c r="V31" s="186" cm="1">
        <f t="array" ref="V31">getColor(E31,"index")</f>
        <v>49</v>
      </c>
      <c r="W31" s="186" cm="1">
        <f t="array" ref="W31">getColor(F31,"index")</f>
        <v>49</v>
      </c>
      <c r="X31" s="186" cm="1">
        <f t="array" ref="X31">getColor(G31,"index")</f>
        <v>49</v>
      </c>
      <c r="Y31" s="186" cm="1">
        <f t="array" ref="Y31">getColor(H31,"index")</f>
        <v>49</v>
      </c>
      <c r="Z31" s="186" cm="1">
        <f t="array" ref="Z31">getColor(I31,"index")</f>
        <v>43</v>
      </c>
      <c r="AA31" s="186" cm="1">
        <f t="array" ref="AA31">getColor(J31,"index")</f>
        <v>44</v>
      </c>
      <c r="AB31" s="186" cm="1">
        <f t="array" ref="AB31">getColor(K31,"index")</f>
        <v>44</v>
      </c>
      <c r="AC31" s="186" cm="1">
        <f t="array" ref="AC31">getColor(L31,"index")</f>
        <v>33</v>
      </c>
      <c r="AD31" s="186" cm="1">
        <f t="array" ref="AD31">getColor(M31,"index")</f>
        <v>14</v>
      </c>
      <c r="AE31" s="186" cm="1">
        <f t="array" ref="AE31">getColor(N31,"index")</f>
        <v>6</v>
      </c>
      <c r="AF31" s="186" cm="1">
        <f t="array" ref="AF31">getColor(O31,"index")</f>
        <v>43</v>
      </c>
      <c r="AG31" s="186" cm="1">
        <f t="array" ref="AG31">getColor(P31,"index")</f>
        <v>43</v>
      </c>
      <c r="AH31" s="177"/>
      <c r="AI31" s="5"/>
      <c r="AJ31" s="7">
        <f t="shared" ref="AJ31" si="19">IF(T31=14,10,IF(T31=43,8,IF(T31=6,6,IF(T31=44,4,IF(T31=3,2,IF(T31=33,0,IF(T31=49,-2,0)))))))</f>
        <v>0</v>
      </c>
      <c r="AK31" s="7">
        <f t="shared" ref="AK31" si="20">IF(U31=14,10,IF(U31=43,8,IF(U31=6,6,IF(U31=44,4,IF(U31=3,2,IF(U31=33,0,IF(U31=49,-2,0)))))))</f>
        <v>0</v>
      </c>
      <c r="AL31" s="7">
        <f t="shared" ref="AL31" si="21">IF(V31=14,10,IF(V31=43,8,IF(V31=6,6,IF(V31=44,4,IF(V31=3,2,IF(V31=33,0,IF(V31=49,-2,0)))))))</f>
        <v>-2</v>
      </c>
      <c r="AM31" s="7">
        <f t="shared" ref="AM31" si="22">IF(W31=14,10,IF(W31=43,8,IF(W31=6,6,IF(W31=44,4,IF(W31=3,2,IF(W31=33,0,IF(W31=49,-2,0)))))))</f>
        <v>-2</v>
      </c>
      <c r="AN31" s="7">
        <f t="shared" ref="AN31" si="23">IF(X31=14,10,IF(X31=43,8,IF(X31=6,6,IF(X31=44,4,IF(X31=3,2,IF(X31=33,0,IF(X31=49,-2,0)))))))</f>
        <v>-2</v>
      </c>
      <c r="AO31" s="7">
        <f t="shared" ref="AO31" si="24">IF(Y31=14,10,IF(Y31=43,8,IF(Y31=6,6,IF(Y31=44,4,IF(Y31=3,2,IF(Y31=33,0,IF(Y31=49,-2,0)))))))</f>
        <v>-2</v>
      </c>
      <c r="AP31" s="7">
        <f t="shared" ref="AP31" si="25">IF(Z31=14,10,IF(Z31=43,8,IF(Z31=6,6,IF(Z31=44,4,IF(Z31=3,2,IF(Z31=33,0,IF(Z31=49,-2,0)))))))</f>
        <v>8</v>
      </c>
      <c r="AQ31" s="7">
        <f t="shared" ref="AQ31" si="26">IF(AA31=14,10,IF(AA31=43,8,IF(AA31=6,6,IF(AA31=44,4,IF(AA31=3,2,IF(AA31=33,0,IF(AA31=49,-2,0)))))))</f>
        <v>4</v>
      </c>
      <c r="AR31" s="7">
        <f t="shared" ref="AR31" si="27">IF(AB31=14,10,IF(AB31=43,8,IF(AB31=6,6,IF(AB31=44,4,IF(AB31=3,2,IF(AB31=33,0,IF(AB31=49,-2,0)))))))</f>
        <v>4</v>
      </c>
      <c r="AS31" s="7">
        <f t="shared" ref="AS31" si="28">IF(AC31=14,10,IF(AC31=43,8,IF(AC31=6,6,IF(AC31=44,4,IF(AC31=3,2,IF(AC31=33,0,IF(AC31=49,-2,0)))))))</f>
        <v>0</v>
      </c>
      <c r="AT31" s="7">
        <f t="shared" ref="AT31" si="29">IF(AD31=14,10,IF(AD31=43,8,IF(AD31=6,6,IF(AD31=44,4,IF(AD31=3,2,IF(AD31=33,0,IF(AD31=49,-2,0)))))))</f>
        <v>10</v>
      </c>
      <c r="AU31" s="7">
        <f t="shared" ref="AU31" si="30">IF(AE31=14,10,IF(AE31=43,8,IF(AE31=6,6,IF(AE31=44,4,IF(AE31=3,2,IF(AE31=33,0,IF(AE31=49,-2,0)))))))</f>
        <v>6</v>
      </c>
      <c r="AV31" s="7">
        <f t="shared" ref="AV31" si="31">IF(AF31=14,10,IF(AF31=43,8,IF(AF31=6,6,IF(AF31=44,4,IF(AF31=3,2,IF(AF31=33,0,IF(AF31=49,-2,0)))))))</f>
        <v>8</v>
      </c>
      <c r="AW31" s="7">
        <f t="shared" ref="AW31" si="32">IF(AG31=14,10,IF(AG31=43,8,IF(AG31=6,6,IF(AG31=44,4,IF(AG31=3,2,IF(AG31=33,0,IF(AG31=49,-2,0)))))))</f>
        <v>8</v>
      </c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</row>
    <row r="32" spans="1:82" x14ac:dyDescent="0.25">
      <c r="A32" s="49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50"/>
      <c r="M32" s="49"/>
      <c r="N32" s="49"/>
      <c r="O32" s="49"/>
      <c r="P32" s="49"/>
      <c r="R32" s="5"/>
      <c r="S32" s="156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</row>
    <row r="33" spans="1:82" x14ac:dyDescent="0.25">
      <c r="A33" s="152"/>
      <c r="B33" s="145" t="s">
        <v>110</v>
      </c>
      <c r="C33" s="51" t="s">
        <v>58</v>
      </c>
      <c r="D33" s="51" t="s">
        <v>65</v>
      </c>
      <c r="E33" s="51" t="s">
        <v>68</v>
      </c>
      <c r="F33" s="51" t="s">
        <v>58</v>
      </c>
      <c r="G33" s="51" t="s">
        <v>65</v>
      </c>
      <c r="H33" s="51" t="s">
        <v>68</v>
      </c>
      <c r="I33" s="51" t="s">
        <v>77</v>
      </c>
      <c r="J33" s="51" t="s">
        <v>77</v>
      </c>
      <c r="K33" s="51" t="s">
        <v>77</v>
      </c>
      <c r="L33" s="51" t="s">
        <v>98</v>
      </c>
      <c r="M33" s="52" t="s">
        <v>88</v>
      </c>
      <c r="N33" s="51" t="s">
        <v>93</v>
      </c>
      <c r="O33" s="51" t="s">
        <v>95</v>
      </c>
      <c r="P33" s="51" t="s">
        <v>103</v>
      </c>
      <c r="R33" s="5"/>
      <c r="S33" s="157" t="s">
        <v>196</v>
      </c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6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</row>
    <row r="34" spans="1:82" x14ac:dyDescent="0.25">
      <c r="A34" s="152"/>
      <c r="B34" s="146" t="s">
        <v>111</v>
      </c>
      <c r="C34" s="10" t="s">
        <v>59</v>
      </c>
      <c r="D34" s="10" t="s">
        <v>66</v>
      </c>
      <c r="E34" s="10" t="s">
        <v>67</v>
      </c>
      <c r="F34" s="10" t="s">
        <v>59</v>
      </c>
      <c r="G34" s="10" t="s">
        <v>66</v>
      </c>
      <c r="H34" s="10" t="s">
        <v>67</v>
      </c>
      <c r="I34" s="10" t="s">
        <v>78</v>
      </c>
      <c r="J34" s="10" t="s">
        <v>78</v>
      </c>
      <c r="K34" s="10" t="s">
        <v>78</v>
      </c>
      <c r="L34" s="53" t="s">
        <v>82</v>
      </c>
      <c r="M34" s="10" t="s">
        <v>89</v>
      </c>
      <c r="N34" s="54" t="s">
        <v>44</v>
      </c>
      <c r="O34" s="10" t="s">
        <v>96</v>
      </c>
      <c r="P34" s="55" t="s">
        <v>104</v>
      </c>
      <c r="R34" s="5"/>
      <c r="S34" s="155"/>
      <c r="T34" s="186" cm="1">
        <f t="array" ref="T34">getColor(C34,"index")</f>
        <v>43</v>
      </c>
      <c r="U34" s="186" cm="1">
        <f t="array" ref="U34">getColor(D34,"index")</f>
        <v>43</v>
      </c>
      <c r="V34" s="186" cm="1">
        <f t="array" ref="V34">getColor(E34,"index")</f>
        <v>43</v>
      </c>
      <c r="W34" s="186" cm="1">
        <f t="array" ref="W34">getColor(F34,"index")</f>
        <v>43</v>
      </c>
      <c r="X34" s="186" cm="1">
        <f t="array" ref="X34">getColor(G34,"index")</f>
        <v>43</v>
      </c>
      <c r="Y34" s="186" cm="1">
        <f t="array" ref="Y34">getColor(H34,"index")</f>
        <v>43</v>
      </c>
      <c r="Z34" s="186" cm="1">
        <f t="array" ref="Z34">getColor(I34,"index")</f>
        <v>43</v>
      </c>
      <c r="AA34" s="186" cm="1">
        <f t="array" ref="AA34">getColor(J34,"index")</f>
        <v>43</v>
      </c>
      <c r="AB34" s="186" cm="1">
        <f t="array" ref="AB34">getColor(K34,"index")</f>
        <v>43</v>
      </c>
      <c r="AC34" s="186" cm="1">
        <f t="array" ref="AC34">getColor(L34,"index")</f>
        <v>43</v>
      </c>
      <c r="AD34" s="186" cm="1">
        <f t="array" ref="AD34">getColor(M34,"index")</f>
        <v>43</v>
      </c>
      <c r="AE34" s="186" cm="1">
        <f t="array" ref="AE34">getColor(N34,"index")</f>
        <v>6</v>
      </c>
      <c r="AF34" s="186" cm="1">
        <f t="array" ref="AF34">getColor(O34,"index")</f>
        <v>43</v>
      </c>
      <c r="AG34" s="186" cm="1">
        <f t="array" ref="AG34">getColor(P34,"index")</f>
        <v>43</v>
      </c>
      <c r="AH34" s="177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</row>
    <row r="35" spans="1:82" x14ac:dyDescent="0.25">
      <c r="A35" s="153"/>
      <c r="B35" s="147" t="s">
        <v>112</v>
      </c>
      <c r="C35" s="56" t="s">
        <v>60</v>
      </c>
      <c r="D35" s="56" t="s">
        <v>67</v>
      </c>
      <c r="E35" s="56" t="s">
        <v>69</v>
      </c>
      <c r="F35" s="56" t="s">
        <v>60</v>
      </c>
      <c r="G35" s="56" t="s">
        <v>67</v>
      </c>
      <c r="H35" s="56" t="s">
        <v>69</v>
      </c>
      <c r="I35" s="56" t="s">
        <v>79</v>
      </c>
      <c r="J35" s="56" t="s">
        <v>79</v>
      </c>
      <c r="K35" s="56" t="s">
        <v>79</v>
      </c>
      <c r="L35" s="57" t="s">
        <v>83</v>
      </c>
      <c r="M35" s="54" t="s">
        <v>90</v>
      </c>
      <c r="N35" s="58" t="s">
        <v>94</v>
      </c>
      <c r="O35" s="56" t="s">
        <v>99</v>
      </c>
      <c r="P35" s="59" t="s">
        <v>105</v>
      </c>
      <c r="R35" s="5"/>
      <c r="S35" s="155"/>
      <c r="T35" s="186" cm="1">
        <f t="array" ref="T35">getColor(C35,"index")</f>
        <v>6</v>
      </c>
      <c r="U35" s="186" cm="1">
        <f t="array" ref="U35">getColor(D35,"index")</f>
        <v>6</v>
      </c>
      <c r="V35" s="186" cm="1">
        <f t="array" ref="V35">getColor(E35,"index")</f>
        <v>6</v>
      </c>
      <c r="W35" s="186" cm="1">
        <f t="array" ref="W35">getColor(F35,"index")</f>
        <v>6</v>
      </c>
      <c r="X35" s="186" cm="1">
        <f t="array" ref="X35">getColor(G35,"index")</f>
        <v>6</v>
      </c>
      <c r="Y35" s="186" cm="1">
        <f t="array" ref="Y35">getColor(H35,"index")</f>
        <v>6</v>
      </c>
      <c r="Z35" s="186" cm="1">
        <f t="array" ref="Z35">getColor(I35,"index")</f>
        <v>6</v>
      </c>
      <c r="AA35" s="186" cm="1">
        <f t="array" ref="AA35">getColor(J35,"index")</f>
        <v>6</v>
      </c>
      <c r="AB35" s="186" cm="1">
        <f t="array" ref="AB35">getColor(K35,"index")</f>
        <v>6</v>
      </c>
      <c r="AC35" s="186" cm="1">
        <f t="array" ref="AC35">getColor(L35,"index")</f>
        <v>6</v>
      </c>
      <c r="AD35" s="186" cm="1">
        <f t="array" ref="AD35">getColor(M35,"index")</f>
        <v>6</v>
      </c>
      <c r="AE35" s="186" cm="1">
        <f t="array" ref="AE35">getColor(N35,"index")</f>
        <v>3</v>
      </c>
      <c r="AF35" s="186" cm="1">
        <f t="array" ref="AF35">getColor(O35,"index")</f>
        <v>6</v>
      </c>
      <c r="AG35" s="186" cm="1">
        <f t="array" ref="AG35">getColor(P35,"index")</f>
        <v>6</v>
      </c>
      <c r="AH35" s="177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</row>
    <row r="36" spans="1:82" x14ac:dyDescent="0.25">
      <c r="A36" s="154"/>
      <c r="B36" s="148" t="s">
        <v>113</v>
      </c>
      <c r="C36" s="60" t="s">
        <v>61</v>
      </c>
      <c r="D36" s="60" t="s">
        <v>69</v>
      </c>
      <c r="E36" s="61" t="s">
        <v>70</v>
      </c>
      <c r="F36" s="60" t="s">
        <v>61</v>
      </c>
      <c r="G36" s="60" t="s">
        <v>69</v>
      </c>
      <c r="H36" s="61" t="s">
        <v>70</v>
      </c>
      <c r="I36" s="60" t="s">
        <v>80</v>
      </c>
      <c r="J36" s="60" t="s">
        <v>80</v>
      </c>
      <c r="K36" s="60" t="s">
        <v>80</v>
      </c>
      <c r="L36" s="60" t="s">
        <v>84</v>
      </c>
      <c r="M36" s="60" t="s">
        <v>91</v>
      </c>
      <c r="O36" s="60" t="s">
        <v>100</v>
      </c>
      <c r="P36" s="62" t="s">
        <v>106</v>
      </c>
      <c r="R36" s="5"/>
      <c r="S36" s="155"/>
      <c r="T36" s="186" cm="1">
        <f t="array" ref="T36">getColor(C36,"index")</f>
        <v>44</v>
      </c>
      <c r="U36" s="186" cm="1">
        <f t="array" ref="U36">getColor(D36,"index")</f>
        <v>44</v>
      </c>
      <c r="V36" s="186" cm="1">
        <f t="array" ref="V36">getColor(E36,"index")</f>
        <v>44</v>
      </c>
      <c r="W36" s="186" cm="1">
        <f t="array" ref="W36">getColor(F36,"index")</f>
        <v>44</v>
      </c>
      <c r="X36" s="186" cm="1">
        <f t="array" ref="X36">getColor(G36,"index")</f>
        <v>44</v>
      </c>
      <c r="Y36" s="186" cm="1">
        <f t="array" ref="Y36">getColor(H36,"index")</f>
        <v>44</v>
      </c>
      <c r="Z36" s="186" cm="1">
        <f t="array" ref="Z36">getColor(I36,"index")</f>
        <v>44</v>
      </c>
      <c r="AA36" s="186" cm="1">
        <f t="array" ref="AA36">getColor(J36,"index")</f>
        <v>44</v>
      </c>
      <c r="AB36" s="186" cm="1">
        <f t="array" ref="AB36">getColor(K36,"index")</f>
        <v>44</v>
      </c>
      <c r="AC36" s="186" cm="1">
        <f t="array" ref="AC36">getColor(L36,"index")</f>
        <v>44</v>
      </c>
      <c r="AD36" s="186" cm="1">
        <f t="array" ref="AD36">getColor(M36,"index")</f>
        <v>44</v>
      </c>
      <c r="AE36" s="186" cm="1">
        <f t="array" ref="AE36">getColor(N36,"index")</f>
        <v>-4142</v>
      </c>
      <c r="AF36" s="186" cm="1">
        <f t="array" ref="AF36">getColor(O36,"index")</f>
        <v>44</v>
      </c>
      <c r="AG36" s="186" cm="1">
        <f t="array" ref="AG36">getColor(P36,"index")</f>
        <v>44</v>
      </c>
      <c r="AH36" s="177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</row>
    <row r="37" spans="1:82" x14ac:dyDescent="0.25">
      <c r="A37" s="152"/>
      <c r="B37" s="149" t="s">
        <v>114</v>
      </c>
      <c r="C37" s="63" t="s">
        <v>62</v>
      </c>
      <c r="D37" s="63" t="s">
        <v>71</v>
      </c>
      <c r="E37" s="64" t="s">
        <v>74</v>
      </c>
      <c r="F37" s="63" t="s">
        <v>62</v>
      </c>
      <c r="G37" s="63" t="s">
        <v>71</v>
      </c>
      <c r="H37" s="64" t="s">
        <v>74</v>
      </c>
      <c r="I37" s="63" t="s">
        <v>81</v>
      </c>
      <c r="J37" s="63" t="s">
        <v>81</v>
      </c>
      <c r="K37" s="63" t="s">
        <v>81</v>
      </c>
      <c r="L37" s="65" t="s">
        <v>85</v>
      </c>
      <c r="M37" s="63" t="s">
        <v>92</v>
      </c>
      <c r="O37" s="63" t="s">
        <v>97</v>
      </c>
      <c r="P37" s="66" t="s">
        <v>107</v>
      </c>
      <c r="R37" s="5"/>
      <c r="S37" s="155"/>
      <c r="T37" s="186" cm="1">
        <f t="array" ref="T37">getColor(C37,"index")</f>
        <v>3</v>
      </c>
      <c r="U37" s="186" cm="1">
        <f t="array" ref="U37">getColor(D37,"index")</f>
        <v>3</v>
      </c>
      <c r="V37" s="186" cm="1">
        <f t="array" ref="V37">getColor(E37,"index")</f>
        <v>3</v>
      </c>
      <c r="W37" s="186" cm="1">
        <f t="array" ref="W37">getColor(F37,"index")</f>
        <v>3</v>
      </c>
      <c r="X37" s="186" cm="1">
        <f t="array" ref="X37">getColor(G37,"index")</f>
        <v>3</v>
      </c>
      <c r="Y37" s="186" cm="1">
        <f t="array" ref="Y37">getColor(H37,"index")</f>
        <v>3</v>
      </c>
      <c r="Z37" s="186" cm="1">
        <f t="array" ref="Z37">getColor(I37,"index")</f>
        <v>3</v>
      </c>
      <c r="AA37" s="186" cm="1">
        <f t="array" ref="AA37">getColor(J37,"index")</f>
        <v>3</v>
      </c>
      <c r="AB37" s="186" cm="1">
        <f t="array" ref="AB37">getColor(K37,"index")</f>
        <v>3</v>
      </c>
      <c r="AC37" s="186" cm="1">
        <f t="array" ref="AC37">getColor(L37,"index")</f>
        <v>3</v>
      </c>
      <c r="AD37" s="186" cm="1">
        <f t="array" ref="AD37">getColor(M37,"index")</f>
        <v>3</v>
      </c>
      <c r="AE37" s="186" cm="1">
        <f t="array" ref="AE37">getColor(N37,"index")</f>
        <v>-4142</v>
      </c>
      <c r="AF37" s="186" cm="1">
        <f t="array" ref="AF37">getColor(O37,"index")</f>
        <v>3</v>
      </c>
      <c r="AG37" s="186" cm="1">
        <f t="array" ref="AG37">getColor(P37,"index")</f>
        <v>3</v>
      </c>
      <c r="AH37" s="177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</row>
    <row r="38" spans="1:82" x14ac:dyDescent="0.25">
      <c r="A38" s="108"/>
      <c r="B38" s="150" t="s">
        <v>115</v>
      </c>
      <c r="C38" s="67" t="s">
        <v>63</v>
      </c>
      <c r="D38" s="67" t="s">
        <v>72</v>
      </c>
      <c r="E38" s="67" t="s">
        <v>75</v>
      </c>
      <c r="F38" s="67" t="s">
        <v>63</v>
      </c>
      <c r="G38" s="67" t="s">
        <v>72</v>
      </c>
      <c r="H38" s="67" t="s">
        <v>75</v>
      </c>
      <c r="I38" s="68"/>
      <c r="J38" s="69"/>
      <c r="K38" s="70"/>
      <c r="L38" s="71" t="s">
        <v>86</v>
      </c>
      <c r="O38" s="72" t="s">
        <v>101</v>
      </c>
      <c r="P38" s="73" t="s">
        <v>108</v>
      </c>
      <c r="R38" s="5"/>
      <c r="S38" s="155"/>
      <c r="T38" s="186" cm="1">
        <f t="array" ref="T38">getColor(C38,"index")</f>
        <v>33</v>
      </c>
      <c r="U38" s="186" cm="1">
        <f t="array" ref="U38">getColor(D38,"index")</f>
        <v>33</v>
      </c>
      <c r="V38" s="186" cm="1">
        <f t="array" ref="V38">getColor(E38,"index")</f>
        <v>33</v>
      </c>
      <c r="W38" s="186" cm="1">
        <f t="array" ref="W38">getColor(F38,"index")</f>
        <v>33</v>
      </c>
      <c r="X38" s="186" cm="1">
        <f t="array" ref="X38">getColor(G38,"index")</f>
        <v>33</v>
      </c>
      <c r="Y38" s="186" cm="1">
        <f t="array" ref="Y38">getColor(H38,"index")</f>
        <v>33</v>
      </c>
      <c r="Z38" s="186" cm="1">
        <f t="array" ref="Z38">getColor(I38,"index")</f>
        <v>2</v>
      </c>
      <c r="AA38" s="186" cm="1">
        <f t="array" ref="AA38">getColor(J38,"index")</f>
        <v>2</v>
      </c>
      <c r="AB38" s="186" cm="1">
        <f t="array" ref="AB38">getColor(K38,"index")</f>
        <v>2</v>
      </c>
      <c r="AC38" s="186" cm="1">
        <f t="array" ref="AC38">getColor(L38,"index")</f>
        <v>33</v>
      </c>
      <c r="AD38" s="186" cm="1">
        <f t="array" ref="AD38">getColor(M38,"index")</f>
        <v>-4142</v>
      </c>
      <c r="AE38" s="186" cm="1">
        <f t="array" ref="AE38">getColor(N38,"index")</f>
        <v>-4142</v>
      </c>
      <c r="AF38" s="186" cm="1">
        <f t="array" ref="AF38">getColor(O38,"index")</f>
        <v>33</v>
      </c>
      <c r="AG38" s="186" cm="1">
        <f t="array" ref="AG38">getColor(P38,"index")</f>
        <v>33</v>
      </c>
      <c r="AH38" s="177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</row>
    <row r="39" spans="1:82" x14ac:dyDescent="0.25">
      <c r="A39" s="96"/>
      <c r="B39" s="137" t="s">
        <v>116</v>
      </c>
      <c r="C39" s="39" t="s">
        <v>64</v>
      </c>
      <c r="D39" s="39" t="s">
        <v>73</v>
      </c>
      <c r="E39" s="14" t="s">
        <v>76</v>
      </c>
      <c r="F39" s="39" t="s">
        <v>64</v>
      </c>
      <c r="G39" s="39" t="s">
        <v>73</v>
      </c>
      <c r="H39" s="14" t="s">
        <v>76</v>
      </c>
      <c r="I39" s="74"/>
      <c r="J39" s="75"/>
      <c r="K39" s="76"/>
      <c r="L39" s="77" t="s">
        <v>87</v>
      </c>
      <c r="O39" s="37" t="s">
        <v>102</v>
      </c>
      <c r="P39" s="78" t="s">
        <v>109</v>
      </c>
      <c r="R39" s="5"/>
      <c r="S39" s="155"/>
      <c r="T39" s="186" cm="1">
        <f t="array" ref="T39">getColor(C39,"index")</f>
        <v>49</v>
      </c>
      <c r="U39" s="186" cm="1">
        <f t="array" ref="U39">getColor(D39,"index")</f>
        <v>49</v>
      </c>
      <c r="V39" s="186" cm="1">
        <f t="array" ref="V39">getColor(E39,"index")</f>
        <v>49</v>
      </c>
      <c r="W39" s="186" cm="1">
        <f t="array" ref="W39">getColor(F39,"index")</f>
        <v>49</v>
      </c>
      <c r="X39" s="186" cm="1">
        <f t="array" ref="X39">getColor(G39,"index")</f>
        <v>49</v>
      </c>
      <c r="Y39" s="186" cm="1">
        <f t="array" ref="Y39">getColor(H39,"index")</f>
        <v>49</v>
      </c>
      <c r="Z39" s="186" cm="1">
        <f t="array" ref="Z39">getColor(I39,"index")</f>
        <v>2</v>
      </c>
      <c r="AA39" s="186" cm="1">
        <f t="array" ref="AA39">getColor(J39,"index")</f>
        <v>2</v>
      </c>
      <c r="AB39" s="186" cm="1">
        <f t="array" ref="AB39">getColor(K39,"index")</f>
        <v>2</v>
      </c>
      <c r="AC39" s="186" cm="1">
        <f t="array" ref="AC39">getColor(L39,"index")</f>
        <v>49</v>
      </c>
      <c r="AD39" s="186" cm="1">
        <f t="array" ref="AD39">getColor(M39,"index")</f>
        <v>-4142</v>
      </c>
      <c r="AE39" s="186" cm="1">
        <f t="array" ref="AE39">getColor(N39,"index")</f>
        <v>-4142</v>
      </c>
      <c r="AF39" s="186" cm="1">
        <f t="array" ref="AF39">getColor(O39,"index")</f>
        <v>49</v>
      </c>
      <c r="AG39" s="186" cm="1">
        <f t="array" ref="AG39">getColor(P39,"index")</f>
        <v>49</v>
      </c>
      <c r="AH39" s="177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</row>
    <row r="40" spans="1:82" x14ac:dyDescent="0.25">
      <c r="A40" s="151"/>
      <c r="B40" s="79"/>
      <c r="C40" s="79"/>
      <c r="D40" s="79"/>
      <c r="E40" s="79"/>
      <c r="F40" s="79"/>
      <c r="G40" s="79"/>
      <c r="H40" s="79"/>
      <c r="I40" s="79"/>
      <c r="J40" s="79"/>
      <c r="K40" s="79"/>
      <c r="L40" s="80"/>
      <c r="M40" s="79"/>
      <c r="N40" s="79"/>
      <c r="O40" s="79"/>
      <c r="P40" s="79"/>
      <c r="R40" s="5"/>
      <c r="S40" s="155"/>
      <c r="T40" s="186" cm="1">
        <f t="array" ref="T40">getColor(C40,"index")</f>
        <v>2</v>
      </c>
      <c r="U40" s="186" cm="1">
        <f t="array" ref="U40">getColor(D40,"index")</f>
        <v>2</v>
      </c>
      <c r="V40" s="186" cm="1">
        <f t="array" ref="V40">getColor(E40,"index")</f>
        <v>2</v>
      </c>
      <c r="W40" s="186" cm="1">
        <f t="array" ref="W40">getColor(F40,"index")</f>
        <v>2</v>
      </c>
      <c r="X40" s="186" cm="1">
        <f t="array" ref="X40">getColor(G40,"index")</f>
        <v>2</v>
      </c>
      <c r="Y40" s="186" cm="1">
        <f t="array" ref="Y40">getColor(H40,"index")</f>
        <v>2</v>
      </c>
      <c r="Z40" s="186" cm="1">
        <f t="array" ref="Z40">getColor(I40,"index")</f>
        <v>2</v>
      </c>
      <c r="AA40" s="186" cm="1">
        <f t="array" ref="AA40">getColor(J40,"index")</f>
        <v>2</v>
      </c>
      <c r="AB40" s="186" cm="1">
        <f t="array" ref="AB40">getColor(K40,"index")</f>
        <v>2</v>
      </c>
      <c r="AC40" s="186" cm="1">
        <f t="array" ref="AC40">getColor(L40,"index")</f>
        <v>2</v>
      </c>
      <c r="AD40" s="186" cm="1">
        <f t="array" ref="AD40">getColor(M40,"index")</f>
        <v>2</v>
      </c>
      <c r="AE40" s="186" cm="1">
        <f t="array" ref="AE40">getColor(N40,"index")</f>
        <v>2</v>
      </c>
      <c r="AF40" s="186" cm="1">
        <f t="array" ref="AF40">getColor(O40,"index")</f>
        <v>2</v>
      </c>
      <c r="AG40" s="186" cm="1">
        <f t="array" ref="AG40">getColor(P40,"index")</f>
        <v>2</v>
      </c>
      <c r="AH40" s="177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</row>
    <row r="41" spans="1:82" x14ac:dyDescent="0.25">
      <c r="A41" s="81"/>
      <c r="B41" s="82"/>
      <c r="C41" s="82"/>
      <c r="D41" s="83"/>
      <c r="E41" s="81"/>
      <c r="F41" s="84"/>
      <c r="G41" s="85"/>
      <c r="H41" s="83"/>
      <c r="I41" s="81"/>
      <c r="J41" s="81"/>
      <c r="K41" s="83"/>
      <c r="L41" s="81"/>
      <c r="M41" s="81"/>
      <c r="N41" s="82"/>
      <c r="O41" s="82"/>
      <c r="P41" s="82"/>
      <c r="R41" s="5"/>
      <c r="S41" s="155"/>
      <c r="T41" s="186" cm="1">
        <f t="array" ref="T41">getColor(C41,"index")</f>
        <v>2</v>
      </c>
      <c r="U41" s="186" cm="1">
        <f t="array" ref="U41">getColor(D41,"index")</f>
        <v>2</v>
      </c>
      <c r="V41" s="186" cm="1">
        <f t="array" ref="V41">getColor(E41,"index")</f>
        <v>2</v>
      </c>
      <c r="W41" s="186" cm="1">
        <f t="array" ref="W41">getColor(F41,"index")</f>
        <v>2</v>
      </c>
      <c r="X41" s="186" cm="1">
        <f t="array" ref="X41">getColor(G41,"index")</f>
        <v>2</v>
      </c>
      <c r="Y41" s="186" cm="1">
        <f t="array" ref="Y41">getColor(H41,"index")</f>
        <v>2</v>
      </c>
      <c r="Z41" s="186" cm="1">
        <f t="array" ref="Z41">getColor(I41,"index")</f>
        <v>2</v>
      </c>
      <c r="AA41" s="186" cm="1">
        <f t="array" ref="AA41">getColor(J41,"index")</f>
        <v>2</v>
      </c>
      <c r="AB41" s="186" cm="1">
        <f t="array" ref="AB41">getColor(K41,"index")</f>
        <v>2</v>
      </c>
      <c r="AC41" s="186" cm="1">
        <f t="array" ref="AC41">getColor(L41,"index")</f>
        <v>2</v>
      </c>
      <c r="AD41" s="186" cm="1">
        <f t="array" ref="AD41">getColor(M41,"index")</f>
        <v>2</v>
      </c>
      <c r="AE41" s="186" cm="1">
        <f t="array" ref="AE41">getColor(N41,"index")</f>
        <v>2</v>
      </c>
      <c r="AF41" s="186" cm="1">
        <f t="array" ref="AF41">getColor(O41,"index")</f>
        <v>2</v>
      </c>
      <c r="AG41" s="186" cm="1">
        <f t="array" ref="AG41">getColor(P41,"index")</f>
        <v>2</v>
      </c>
      <c r="AH41" s="177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</row>
    <row r="42" spans="1:82" x14ac:dyDescent="0.25">
      <c r="A42" s="81"/>
      <c r="B42" s="82"/>
      <c r="C42" s="82"/>
      <c r="D42" s="83"/>
      <c r="E42" s="81"/>
      <c r="F42" s="84"/>
      <c r="G42" s="83"/>
      <c r="H42" s="83"/>
      <c r="I42" s="81"/>
      <c r="J42" s="81"/>
      <c r="K42" s="83"/>
      <c r="L42" s="81"/>
      <c r="M42" s="81"/>
      <c r="N42" s="82"/>
      <c r="O42" s="82"/>
      <c r="P42" s="82"/>
      <c r="R42" s="5"/>
      <c r="S42" s="155"/>
      <c r="T42" s="186" cm="1">
        <f t="array" ref="T42">getColor(C42,"index")</f>
        <v>2</v>
      </c>
      <c r="U42" s="186" cm="1">
        <f t="array" ref="U42">getColor(D42,"index")</f>
        <v>2</v>
      </c>
      <c r="V42" s="186" cm="1">
        <f t="array" ref="V42">getColor(E42,"index")</f>
        <v>2</v>
      </c>
      <c r="W42" s="186" cm="1">
        <f t="array" ref="W42">getColor(F42,"index")</f>
        <v>2</v>
      </c>
      <c r="X42" s="186" cm="1">
        <f t="array" ref="X42">getColor(G42,"index")</f>
        <v>2</v>
      </c>
      <c r="Y42" s="186" cm="1">
        <f t="array" ref="Y42">getColor(H42,"index")</f>
        <v>2</v>
      </c>
      <c r="Z42" s="186" cm="1">
        <f t="array" ref="Z42">getColor(I42,"index")</f>
        <v>2</v>
      </c>
      <c r="AA42" s="186" cm="1">
        <f t="array" ref="AA42">getColor(J42,"index")</f>
        <v>2</v>
      </c>
      <c r="AB42" s="186" cm="1">
        <f t="array" ref="AB42">getColor(K42,"index")</f>
        <v>2</v>
      </c>
      <c r="AC42" s="186" cm="1">
        <f t="array" ref="AC42">getColor(L42,"index")</f>
        <v>2</v>
      </c>
      <c r="AD42" s="186" cm="1">
        <f t="array" ref="AD42">getColor(M42,"index")</f>
        <v>2</v>
      </c>
      <c r="AE42" s="186" cm="1">
        <f t="array" ref="AE42">getColor(N42,"index")</f>
        <v>2</v>
      </c>
      <c r="AF42" s="186" cm="1">
        <f t="array" ref="AF42">getColor(O42,"index")</f>
        <v>2</v>
      </c>
      <c r="AG42" s="186" cm="1">
        <f t="array" ref="AG42">getColor(P42,"index")</f>
        <v>2</v>
      </c>
      <c r="AH42" s="177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</row>
    <row r="43" spans="1:82" x14ac:dyDescent="0.25">
      <c r="A43" s="83"/>
      <c r="B43" s="86"/>
      <c r="C43" s="86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6"/>
      <c r="O43" s="86"/>
      <c r="P43" s="82"/>
      <c r="R43" s="5"/>
      <c r="S43" s="155"/>
      <c r="T43" s="186" cm="1">
        <f t="array" ref="T43">getColor(C43,"index")</f>
        <v>2</v>
      </c>
      <c r="U43" s="186" cm="1">
        <f t="array" ref="U43">getColor(D43,"index")</f>
        <v>2</v>
      </c>
      <c r="V43" s="186" cm="1">
        <f t="array" ref="V43">getColor(E43,"index")</f>
        <v>2</v>
      </c>
      <c r="W43" s="186" cm="1">
        <f t="array" ref="W43">getColor(F43,"index")</f>
        <v>2</v>
      </c>
      <c r="X43" s="186" cm="1">
        <f t="array" ref="X43">getColor(G43,"index")</f>
        <v>2</v>
      </c>
      <c r="Y43" s="186" cm="1">
        <f t="array" ref="Y43">getColor(H43,"index")</f>
        <v>2</v>
      </c>
      <c r="Z43" s="186" cm="1">
        <f t="array" ref="Z43">getColor(I43,"index")</f>
        <v>2</v>
      </c>
      <c r="AA43" s="186" cm="1">
        <f t="array" ref="AA43">getColor(J43,"index")</f>
        <v>2</v>
      </c>
      <c r="AB43" s="186" cm="1">
        <f t="array" ref="AB43">getColor(K43,"index")</f>
        <v>2</v>
      </c>
      <c r="AC43" s="186" cm="1">
        <f t="array" ref="AC43">getColor(L43,"index")</f>
        <v>2</v>
      </c>
      <c r="AD43" s="186" cm="1">
        <f t="array" ref="AD43">getColor(M43,"index")</f>
        <v>2</v>
      </c>
      <c r="AE43" s="186" cm="1">
        <f t="array" ref="AE43">getColor(N43,"index")</f>
        <v>2</v>
      </c>
      <c r="AF43" s="186" cm="1">
        <f t="array" ref="AF43">getColor(O43,"index")</f>
        <v>2</v>
      </c>
      <c r="AG43" s="186" cm="1">
        <f t="array" ref="AG43">getColor(P43,"index")</f>
        <v>2</v>
      </c>
      <c r="AH43" s="177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</row>
    <row r="44" spans="1:82" x14ac:dyDescent="0.25">
      <c r="A44" s="81"/>
      <c r="B44" s="82"/>
      <c r="C44" s="82"/>
      <c r="D44" s="83"/>
      <c r="E44" s="81"/>
      <c r="F44" s="84"/>
      <c r="G44" s="83"/>
      <c r="H44" s="88"/>
      <c r="I44" s="111"/>
      <c r="J44" s="111"/>
      <c r="K44" s="83"/>
      <c r="L44" s="81"/>
      <c r="M44" s="81"/>
      <c r="N44" s="82"/>
      <c r="O44" s="82"/>
      <c r="P44" s="82"/>
      <c r="R44" s="5"/>
      <c r="S44" s="155"/>
      <c r="T44" s="186" cm="1">
        <f t="array" ref="T44">getColor(C44,"index")</f>
        <v>2</v>
      </c>
      <c r="U44" s="186" cm="1">
        <f t="array" ref="U44">getColor(D44,"index")</f>
        <v>2</v>
      </c>
      <c r="V44" s="186" cm="1">
        <f t="array" ref="V44">getColor(E44,"index")</f>
        <v>2</v>
      </c>
      <c r="W44" s="186" cm="1">
        <f t="array" ref="W44">getColor(F44,"index")</f>
        <v>2</v>
      </c>
      <c r="X44" s="186" cm="1">
        <f t="array" ref="X44">getColor(G44,"index")</f>
        <v>2</v>
      </c>
      <c r="Y44" s="186" cm="1">
        <f t="array" ref="Y44">getColor(H44,"index")</f>
        <v>2</v>
      </c>
      <c r="Z44" s="186" cm="1">
        <f t="array" ref="Z44">getColor(I44,"index")</f>
        <v>2</v>
      </c>
      <c r="AA44" s="186" cm="1">
        <f t="array" ref="AA44">getColor(J44,"index")</f>
        <v>2</v>
      </c>
      <c r="AB44" s="186" cm="1">
        <f t="array" ref="AB44">getColor(K44,"index")</f>
        <v>2</v>
      </c>
      <c r="AC44" s="186" cm="1">
        <f t="array" ref="AC44">getColor(L44,"index")</f>
        <v>2</v>
      </c>
      <c r="AD44" s="186" cm="1">
        <f t="array" ref="AD44">getColor(M44,"index")</f>
        <v>2</v>
      </c>
      <c r="AE44" s="186" cm="1">
        <f t="array" ref="AE44">getColor(N44,"index")</f>
        <v>2</v>
      </c>
      <c r="AF44" s="186" cm="1">
        <f t="array" ref="AF44">getColor(O44,"index")</f>
        <v>2</v>
      </c>
      <c r="AG44" s="186" cm="1">
        <f t="array" ref="AG44">getColor(P44,"index")</f>
        <v>2</v>
      </c>
      <c r="AH44" s="177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</row>
    <row r="45" spans="1:82" x14ac:dyDescent="0.25">
      <c r="A45" s="83"/>
      <c r="B45" s="86"/>
      <c r="C45" s="15" t="s">
        <v>134</v>
      </c>
      <c r="D45" s="11" t="s">
        <v>129</v>
      </c>
      <c r="E45" s="23">
        <v>55</v>
      </c>
      <c r="F45" s="23" t="s">
        <v>130</v>
      </c>
      <c r="G45" s="23">
        <v>60</v>
      </c>
      <c r="H45" s="110"/>
      <c r="I45" s="81"/>
      <c r="J45" s="81"/>
      <c r="K45" s="123"/>
      <c r="L45" s="83"/>
      <c r="M45" s="83"/>
      <c r="N45" s="86"/>
      <c r="O45" s="86"/>
      <c r="P45" s="82"/>
      <c r="R45" s="5"/>
      <c r="S45" s="155"/>
      <c r="T45" s="186" cm="1">
        <f t="array" ref="T45">getColor(C45,"index")</f>
        <v>6</v>
      </c>
      <c r="U45" s="186" cm="1">
        <f t="array" ref="U45">getColor(D45,"index")</f>
        <v>43</v>
      </c>
      <c r="V45" s="186" cm="1">
        <f t="array" ref="V45">getColor(E45,"index")</f>
        <v>44</v>
      </c>
      <c r="W45" s="186" cm="1">
        <f t="array" ref="W45">getColor(F45,"index")</f>
        <v>44</v>
      </c>
      <c r="X45" s="186" cm="1">
        <f t="array" ref="X45">getColor(G45,"index")</f>
        <v>44</v>
      </c>
      <c r="Y45" s="186" cm="1">
        <f t="array" ref="Y45">getColor(H45,"index")</f>
        <v>2</v>
      </c>
      <c r="Z45" s="186" cm="1">
        <f t="array" ref="Z45">getColor(I45,"index")</f>
        <v>2</v>
      </c>
      <c r="AA45" s="186" cm="1">
        <f t="array" ref="AA45">getColor(J45,"index")</f>
        <v>2</v>
      </c>
      <c r="AB45" s="186" cm="1">
        <f t="array" ref="AB45">getColor(K45,"index")</f>
        <v>2</v>
      </c>
      <c r="AC45" s="186" cm="1">
        <f t="array" ref="AC45">getColor(L45,"index")</f>
        <v>2</v>
      </c>
      <c r="AD45" s="186" cm="1">
        <f t="array" ref="AD45">getColor(M45,"index")</f>
        <v>2</v>
      </c>
      <c r="AE45" s="186" cm="1">
        <f t="array" ref="AE45">getColor(N45,"index")</f>
        <v>2</v>
      </c>
      <c r="AF45" s="186" cm="1">
        <f t="array" ref="AF45">getColor(O45,"index")</f>
        <v>2</v>
      </c>
      <c r="AG45" s="186" cm="1">
        <f t="array" ref="AG45">getColor(P45,"index")</f>
        <v>2</v>
      </c>
      <c r="AH45" s="177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</row>
    <row r="46" spans="1:82" x14ac:dyDescent="0.25">
      <c r="A46" s="81"/>
      <c r="B46" s="114"/>
      <c r="C46" s="105"/>
      <c r="D46" s="105"/>
      <c r="E46" s="105"/>
      <c r="F46" s="105"/>
      <c r="G46" s="105"/>
      <c r="H46" s="81"/>
      <c r="I46" s="81"/>
      <c r="J46" s="81"/>
      <c r="K46" s="126"/>
      <c r="L46" s="126"/>
      <c r="M46" s="84"/>
      <c r="N46" s="96"/>
      <c r="O46" s="96"/>
      <c r="P46" s="96"/>
      <c r="Q46" s="7"/>
      <c r="R46" s="5"/>
      <c r="S46" s="155"/>
      <c r="T46" s="186" cm="1">
        <f t="array" ref="T46">getColor(C46,"index")</f>
        <v>2</v>
      </c>
      <c r="U46" s="186" cm="1">
        <f t="array" ref="U46">getColor(D46,"index")</f>
        <v>2</v>
      </c>
      <c r="V46" s="186" cm="1">
        <f t="array" ref="V46">getColor(E46,"index")</f>
        <v>2</v>
      </c>
      <c r="W46" s="186" cm="1">
        <f t="array" ref="W46">getColor(F46,"index")</f>
        <v>2</v>
      </c>
      <c r="X46" s="186" cm="1">
        <f t="array" ref="X46">getColor(G46,"index")</f>
        <v>2</v>
      </c>
      <c r="Y46" s="186" cm="1">
        <f t="array" ref="Y46">getColor(H46,"index")</f>
        <v>2</v>
      </c>
      <c r="Z46" s="186" cm="1">
        <f t="array" ref="Z46">getColor(I46,"index")</f>
        <v>2</v>
      </c>
      <c r="AA46" s="186" cm="1">
        <f t="array" ref="AA46">getColor(J46,"index")</f>
        <v>2</v>
      </c>
      <c r="AB46" s="186" cm="1">
        <f t="array" ref="AB46">getColor(K46,"index")</f>
        <v>2</v>
      </c>
      <c r="AC46" s="186" cm="1">
        <f t="array" ref="AC46">getColor(L46,"index")</f>
        <v>2</v>
      </c>
      <c r="AD46" s="186" cm="1">
        <f t="array" ref="AD46">getColor(M46,"index")</f>
        <v>2</v>
      </c>
      <c r="AE46" s="186" cm="1">
        <f t="array" ref="AE46">getColor(N46,"index")</f>
        <v>2</v>
      </c>
      <c r="AF46" s="186" cm="1">
        <f t="array" ref="AF46">getColor(O46,"index")</f>
        <v>2</v>
      </c>
      <c r="AG46" s="186" cm="1">
        <f t="array" ref="AG46">getColor(P46,"index")</f>
        <v>2</v>
      </c>
      <c r="AH46" s="177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</row>
    <row r="47" spans="1:82" x14ac:dyDescent="0.25">
      <c r="A47" s="87"/>
      <c r="B47" s="82"/>
      <c r="C47" s="90" t="s">
        <v>173</v>
      </c>
      <c r="D47" s="90" t="s">
        <v>128</v>
      </c>
      <c r="E47" s="91" t="s">
        <v>176</v>
      </c>
      <c r="F47" s="91" t="s">
        <v>174</v>
      </c>
      <c r="G47" s="91" t="s">
        <v>177</v>
      </c>
      <c r="H47" s="92" t="s">
        <v>175</v>
      </c>
      <c r="I47" s="109" t="s">
        <v>178</v>
      </c>
      <c r="J47" s="109" t="s">
        <v>186</v>
      </c>
      <c r="K47" s="85"/>
      <c r="L47" s="126"/>
      <c r="M47" s="84"/>
      <c r="N47" s="96"/>
      <c r="O47" s="96"/>
      <c r="P47" s="96"/>
      <c r="Q47" s="7"/>
      <c r="R47" s="5"/>
      <c r="S47" s="155"/>
      <c r="T47" s="186" cm="1">
        <f t="array" ref="T47">getColor(C47,"index")</f>
        <v>23</v>
      </c>
      <c r="U47" s="186" cm="1">
        <f t="array" ref="U47">getColor(D47,"index")</f>
        <v>23</v>
      </c>
      <c r="V47" s="186" cm="1">
        <f t="array" ref="V47">getColor(E47,"index")</f>
        <v>23</v>
      </c>
      <c r="W47" s="186" cm="1">
        <f t="array" ref="W47">getColor(F47,"index")</f>
        <v>23</v>
      </c>
      <c r="X47" s="186" cm="1">
        <f t="array" ref="X47">getColor(G47,"index")</f>
        <v>23</v>
      </c>
      <c r="Y47" s="186" cm="1">
        <f t="array" ref="Y47">getColor(H47,"index")</f>
        <v>23</v>
      </c>
      <c r="Z47" s="186" cm="1">
        <f t="array" ref="Z47">getColor(I47,"index")</f>
        <v>23</v>
      </c>
      <c r="AA47" s="186" cm="1">
        <f t="array" ref="AA47">getColor(J47,"index")</f>
        <v>23</v>
      </c>
      <c r="AB47" s="186" cm="1">
        <f t="array" ref="AB47">getColor(K47,"index")</f>
        <v>2</v>
      </c>
      <c r="AC47" s="186" cm="1">
        <f t="array" ref="AC47">getColor(L47,"index")</f>
        <v>2</v>
      </c>
      <c r="AD47" s="186" cm="1">
        <f t="array" ref="AD47">getColor(M47,"index")</f>
        <v>2</v>
      </c>
      <c r="AE47" s="186" cm="1">
        <f t="array" ref="AE47">getColor(N47,"index")</f>
        <v>2</v>
      </c>
      <c r="AF47" s="186" cm="1">
        <f t="array" ref="AF47">getColor(O47,"index")</f>
        <v>2</v>
      </c>
      <c r="AG47" s="186" cm="1">
        <f t="array" ref="AG47">getColor(P47,"index")</f>
        <v>2</v>
      </c>
      <c r="AH47" s="177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</row>
    <row r="48" spans="1:82" x14ac:dyDescent="0.25">
      <c r="A48" s="89"/>
      <c r="B48" s="89"/>
      <c r="C48" s="169" t="s">
        <v>13</v>
      </c>
      <c r="D48" s="25" t="s">
        <v>170</v>
      </c>
      <c r="E48" s="23">
        <v>60</v>
      </c>
      <c r="F48" s="25" t="s">
        <v>171</v>
      </c>
      <c r="G48" s="23">
        <v>64</v>
      </c>
      <c r="H48" s="119" t="s">
        <v>172</v>
      </c>
      <c r="I48" s="121">
        <v>58</v>
      </c>
      <c r="J48" s="95">
        <f t="shared" ref="J48:J59" si="33">ROUND((L62+M62+N62+O62+P62+Q62)/6,1)</f>
        <v>6.7</v>
      </c>
      <c r="K48" s="127"/>
      <c r="L48" s="7" cm="1">
        <f t="array" ref="L48">getColor(D48,"index")</f>
        <v>14</v>
      </c>
      <c r="M48" s="7" cm="1">
        <f t="array" ref="M48">getColor(E48,"index")</f>
        <v>44</v>
      </c>
      <c r="N48" s="7" cm="1">
        <f t="array" ref="N48">getColor(F48,"index")</f>
        <v>14</v>
      </c>
      <c r="O48" s="7" cm="1">
        <f t="array" ref="O48">getColor(G48,"index")</f>
        <v>44</v>
      </c>
      <c r="P48" s="7" cm="1">
        <f t="array" ref="P48">getColor(H48,"index")</f>
        <v>43</v>
      </c>
      <c r="Q48" s="7" cm="1">
        <f t="array" ref="Q48">getColor(I48,"index")</f>
        <v>44</v>
      </c>
      <c r="R48" s="5"/>
      <c r="S48" s="155"/>
      <c r="T48" s="186" cm="1">
        <f t="array" ref="T48">getColor(C48,"index")</f>
        <v>6</v>
      </c>
      <c r="U48" s="186" cm="1">
        <f t="array" ref="U48">getColor(D48,"index")</f>
        <v>14</v>
      </c>
      <c r="V48" s="186" cm="1">
        <f t="array" ref="V48">getColor(E48,"index")</f>
        <v>44</v>
      </c>
      <c r="W48" s="186" cm="1">
        <f t="array" ref="W48">getColor(F48,"index")</f>
        <v>14</v>
      </c>
      <c r="X48" s="186" cm="1">
        <f t="array" ref="X48">getColor(G48,"index")</f>
        <v>44</v>
      </c>
      <c r="Y48" s="186" cm="1">
        <f t="array" ref="Y48">getColor(H48,"index")</f>
        <v>43</v>
      </c>
      <c r="Z48" s="186" cm="1">
        <f t="array" ref="Z48">getColor(I48,"index")</f>
        <v>44</v>
      </c>
      <c r="AA48" s="186" cm="1">
        <f t="array" ref="AA48">getColor(J48,"index")</f>
        <v>6</v>
      </c>
      <c r="AB48" s="186" cm="1">
        <f t="array" ref="AB48">getColor(K48,"index")</f>
        <v>2</v>
      </c>
      <c r="AC48" s="186" cm="1">
        <f t="array" ref="AC48">getColor(L48,"index")</f>
        <v>-4142</v>
      </c>
      <c r="AD48" s="186" cm="1">
        <f t="array" ref="AD48">getColor(M48,"index")</f>
        <v>-4142</v>
      </c>
      <c r="AE48" s="186" cm="1">
        <f t="array" ref="AE48">getColor(N48,"index")</f>
        <v>-4142</v>
      </c>
      <c r="AF48" s="186" cm="1">
        <f t="array" ref="AF48">getColor(O48,"index")</f>
        <v>-4142</v>
      </c>
      <c r="AG48" s="186" cm="1">
        <f t="array" ref="AG48">getColor(P48,"index")</f>
        <v>-4142</v>
      </c>
      <c r="AH48" s="177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</row>
    <row r="49" spans="1:82" x14ac:dyDescent="0.25">
      <c r="A49" s="89"/>
      <c r="B49" s="89"/>
      <c r="C49" s="18" t="s">
        <v>139</v>
      </c>
      <c r="D49" s="15" t="s">
        <v>167</v>
      </c>
      <c r="E49" s="31">
        <v>52</v>
      </c>
      <c r="F49" s="23" t="s">
        <v>168</v>
      </c>
      <c r="G49" s="31">
        <v>52</v>
      </c>
      <c r="H49" s="93" t="s">
        <v>169</v>
      </c>
      <c r="I49" s="93">
        <v>54</v>
      </c>
      <c r="J49" s="121">
        <f t="shared" si="33"/>
        <v>3</v>
      </c>
      <c r="K49" s="85"/>
      <c r="L49" s="7" cm="1">
        <f t="array" ref="L49">getColor(D49,"index")</f>
        <v>6</v>
      </c>
      <c r="M49" s="7" cm="1">
        <f t="array" ref="M49">getColor(E49,"index")</f>
        <v>3</v>
      </c>
      <c r="N49" s="7" cm="1">
        <f t="array" ref="N49">getColor(F49,"index")</f>
        <v>44</v>
      </c>
      <c r="O49" s="7" cm="1">
        <f t="array" ref="O49">getColor(G49,"index")</f>
        <v>3</v>
      </c>
      <c r="P49" s="7" cm="1">
        <f t="array" ref="P49">getColor(H49,"index")</f>
        <v>3</v>
      </c>
      <c r="Q49" s="7" cm="1">
        <f t="array" ref="Q49">getColor(I49,"index")</f>
        <v>3</v>
      </c>
      <c r="R49" s="5"/>
      <c r="S49" s="155"/>
      <c r="T49" s="186" cm="1">
        <f t="array" ref="T49">getColor(C49,"index")</f>
        <v>44</v>
      </c>
      <c r="U49" s="186" cm="1">
        <f t="array" ref="U49">getColor(D49,"index")</f>
        <v>6</v>
      </c>
      <c r="V49" s="186" cm="1">
        <f t="array" ref="V49">getColor(E49,"index")</f>
        <v>3</v>
      </c>
      <c r="W49" s="186" cm="1">
        <f t="array" ref="W49">getColor(F49,"index")</f>
        <v>44</v>
      </c>
      <c r="X49" s="186" cm="1">
        <f t="array" ref="X49">getColor(G49,"index")</f>
        <v>3</v>
      </c>
      <c r="Y49" s="186" cm="1">
        <f t="array" ref="Y49">getColor(H49,"index")</f>
        <v>3</v>
      </c>
      <c r="Z49" s="186" cm="1">
        <f t="array" ref="Z49">getColor(I49,"index")</f>
        <v>3</v>
      </c>
      <c r="AA49" s="186" cm="1">
        <f t="array" ref="AA49">getColor(J49,"index")</f>
        <v>44</v>
      </c>
      <c r="AB49" s="186" cm="1">
        <f t="array" ref="AB49">getColor(K49,"index")</f>
        <v>2</v>
      </c>
      <c r="AC49" s="186" cm="1">
        <f t="array" ref="AC49">getColor(L49,"index")</f>
        <v>-4142</v>
      </c>
      <c r="AD49" s="186" cm="1">
        <f t="array" ref="AD49">getColor(M49,"index")</f>
        <v>-4142</v>
      </c>
      <c r="AE49" s="186" cm="1">
        <f t="array" ref="AE49">getColor(N49,"index")</f>
        <v>-4142</v>
      </c>
      <c r="AF49" s="186" cm="1">
        <f t="array" ref="AF49">getColor(O49,"index")</f>
        <v>-4142</v>
      </c>
      <c r="AG49" s="186" cm="1">
        <f t="array" ref="AG49">getColor(P49,"index")</f>
        <v>-4142</v>
      </c>
      <c r="AH49" s="177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</row>
    <row r="50" spans="1:82" x14ac:dyDescent="0.25">
      <c r="A50" s="87"/>
      <c r="B50" s="87"/>
      <c r="C50" s="43" t="s">
        <v>28</v>
      </c>
      <c r="D50" s="25" t="s">
        <v>163</v>
      </c>
      <c r="E50" s="25">
        <v>72</v>
      </c>
      <c r="F50" s="25" t="s">
        <v>165</v>
      </c>
      <c r="G50" s="11">
        <v>75</v>
      </c>
      <c r="H50" s="100" t="s">
        <v>166</v>
      </c>
      <c r="I50" s="119">
        <v>78</v>
      </c>
      <c r="J50" s="100">
        <f t="shared" si="33"/>
        <v>9.3000000000000007</v>
      </c>
      <c r="K50" s="85"/>
      <c r="L50" s="7" cm="1">
        <f t="array" ref="L50">getColor(D50,"index")</f>
        <v>14</v>
      </c>
      <c r="M50" s="7" cm="1">
        <f t="array" ref="M50">getColor(E50,"index")</f>
        <v>14</v>
      </c>
      <c r="N50" s="7" cm="1">
        <f t="array" ref="N50">getColor(F50,"index")</f>
        <v>14</v>
      </c>
      <c r="O50" s="7" cm="1">
        <f t="array" ref="O50">getColor(G50,"index")</f>
        <v>43</v>
      </c>
      <c r="P50" s="7" cm="1">
        <f t="array" ref="P50">getColor(H50,"index")</f>
        <v>14</v>
      </c>
      <c r="Q50" s="7" cm="1">
        <f t="array" ref="Q50">getColor(I50,"index")</f>
        <v>43</v>
      </c>
      <c r="R50" s="5"/>
      <c r="S50" s="155"/>
      <c r="T50" s="186" cm="1">
        <f t="array" ref="T50">getColor(C50,"index")</f>
        <v>14</v>
      </c>
      <c r="U50" s="186" cm="1">
        <f t="array" ref="U50">getColor(D50,"index")</f>
        <v>14</v>
      </c>
      <c r="V50" s="186" cm="1">
        <f t="array" ref="V50">getColor(E50,"index")</f>
        <v>14</v>
      </c>
      <c r="W50" s="186" cm="1">
        <f t="array" ref="W50">getColor(F50,"index")</f>
        <v>14</v>
      </c>
      <c r="X50" s="186" cm="1">
        <f t="array" ref="X50">getColor(G50,"index")</f>
        <v>43</v>
      </c>
      <c r="Y50" s="186" cm="1">
        <f t="array" ref="Y50">getColor(H50,"index")</f>
        <v>14</v>
      </c>
      <c r="Z50" s="186" cm="1">
        <f t="array" ref="Z50">getColor(I50,"index")</f>
        <v>43</v>
      </c>
      <c r="AA50" s="186" cm="1">
        <f t="array" ref="AA50">getColor(J50,"index")</f>
        <v>14</v>
      </c>
      <c r="AB50" s="186" cm="1">
        <f t="array" ref="AB50">getColor(K50,"index")</f>
        <v>2</v>
      </c>
      <c r="AC50" s="186" cm="1">
        <f t="array" ref="AC50">getColor(L50,"index")</f>
        <v>-4142</v>
      </c>
      <c r="AD50" s="186" cm="1">
        <f t="array" ref="AD50">getColor(M50,"index")</f>
        <v>-4142</v>
      </c>
      <c r="AE50" s="186" cm="1">
        <f t="array" ref="AE50">getColor(N50,"index")</f>
        <v>-4142</v>
      </c>
      <c r="AF50" s="186" cm="1">
        <f t="array" ref="AF50">getColor(O50,"index")</f>
        <v>-4142</v>
      </c>
      <c r="AG50" s="186" cm="1">
        <f t="array" ref="AG50">getColor(P50,"index")</f>
        <v>-4142</v>
      </c>
      <c r="AH50" s="177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</row>
    <row r="51" spans="1:82" x14ac:dyDescent="0.25">
      <c r="A51" s="89"/>
      <c r="B51" s="89"/>
      <c r="C51" s="129" t="s">
        <v>8</v>
      </c>
      <c r="D51" s="16" t="s">
        <v>160</v>
      </c>
      <c r="E51" s="12">
        <v>67</v>
      </c>
      <c r="F51" s="16" t="s">
        <v>161</v>
      </c>
      <c r="G51" s="12">
        <v>70</v>
      </c>
      <c r="H51" s="99" t="s">
        <v>162</v>
      </c>
      <c r="I51" s="120">
        <v>79</v>
      </c>
      <c r="J51" s="120">
        <f t="shared" si="33"/>
        <v>8.3000000000000007</v>
      </c>
      <c r="K51" s="85"/>
      <c r="L51" s="7" cm="1">
        <f t="array" ref="L51">getColor(D51,"index")</f>
        <v>14</v>
      </c>
      <c r="M51" s="7" cm="1">
        <f t="array" ref="M51">getColor(E51,"index")</f>
        <v>6</v>
      </c>
      <c r="N51" s="7" cm="1">
        <f t="array" ref="N51">getColor(F51,"index")</f>
        <v>14</v>
      </c>
      <c r="O51" s="7" cm="1">
        <f t="array" ref="O51">getColor(G51,"index")</f>
        <v>6</v>
      </c>
      <c r="P51" s="7" cm="1">
        <f t="array" ref="P51">getColor(H51,"index")</f>
        <v>14</v>
      </c>
      <c r="Q51" s="7" cm="1">
        <f t="array" ref="Q51">getColor(I51,"index")</f>
        <v>43</v>
      </c>
      <c r="R51" s="5"/>
      <c r="S51" s="155"/>
      <c r="T51" s="186" cm="1">
        <f t="array" ref="T51">getColor(C51,"index")</f>
        <v>43</v>
      </c>
      <c r="U51" s="186" cm="1">
        <f t="array" ref="U51">getColor(D51,"index")</f>
        <v>14</v>
      </c>
      <c r="V51" s="186" cm="1">
        <f t="array" ref="V51">getColor(E51,"index")</f>
        <v>6</v>
      </c>
      <c r="W51" s="186" cm="1">
        <f t="array" ref="W51">getColor(F51,"index")</f>
        <v>14</v>
      </c>
      <c r="X51" s="186" cm="1">
        <f t="array" ref="X51">getColor(G51,"index")</f>
        <v>6</v>
      </c>
      <c r="Y51" s="186" cm="1">
        <f t="array" ref="Y51">getColor(H51,"index")</f>
        <v>14</v>
      </c>
      <c r="Z51" s="186" cm="1">
        <f t="array" ref="Z51">getColor(I51,"index")</f>
        <v>43</v>
      </c>
      <c r="AA51" s="186" cm="1">
        <f t="array" ref="AA51">getColor(J51,"index")</f>
        <v>43</v>
      </c>
      <c r="AB51" s="186" cm="1">
        <f t="array" ref="AB51">getColor(K51,"index")</f>
        <v>2</v>
      </c>
      <c r="AC51" s="186" cm="1">
        <f t="array" ref="AC51">getColor(L51,"index")</f>
        <v>-4142</v>
      </c>
      <c r="AD51" s="186" cm="1">
        <f t="array" ref="AD51">getColor(M51,"index")</f>
        <v>-4142</v>
      </c>
      <c r="AE51" s="186" cm="1">
        <f t="array" ref="AE51">getColor(N51,"index")</f>
        <v>-4142</v>
      </c>
      <c r="AF51" s="186" cm="1">
        <f t="array" ref="AF51">getColor(O51,"index")</f>
        <v>-4142</v>
      </c>
      <c r="AG51" s="186" cm="1">
        <f t="array" ref="AG51">getColor(P51,"index")</f>
        <v>-4142</v>
      </c>
      <c r="AH51" s="177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</row>
    <row r="52" spans="1:82" x14ac:dyDescent="0.25">
      <c r="A52" s="89"/>
      <c r="B52" s="87"/>
      <c r="C52" s="30" t="s">
        <v>22</v>
      </c>
      <c r="D52" s="17" t="s">
        <v>157</v>
      </c>
      <c r="E52" s="35">
        <v>58</v>
      </c>
      <c r="F52" s="35" t="s">
        <v>158</v>
      </c>
      <c r="G52" s="35">
        <v>57</v>
      </c>
      <c r="H52" s="98" t="s">
        <v>159</v>
      </c>
      <c r="I52" s="98">
        <v>62</v>
      </c>
      <c r="J52" s="98">
        <f t="shared" si="33"/>
        <v>4.7</v>
      </c>
      <c r="K52" s="85"/>
      <c r="L52" s="7" cm="1">
        <f t="array" ref="L52">getColor(D52,"index")</f>
        <v>43</v>
      </c>
      <c r="M52" s="7" cm="1">
        <f t="array" ref="M52">getColor(E52,"index")</f>
        <v>44</v>
      </c>
      <c r="N52" s="7" cm="1">
        <f t="array" ref="N52">getColor(F52,"index")</f>
        <v>44</v>
      </c>
      <c r="O52" s="7" cm="1">
        <f t="array" ref="O52">getColor(G52,"index")</f>
        <v>44</v>
      </c>
      <c r="P52" s="7" cm="1">
        <f t="array" ref="P52">getColor(H52,"index")</f>
        <v>44</v>
      </c>
      <c r="Q52" s="7" cm="1">
        <f t="array" ref="Q52">getColor(I52,"index")</f>
        <v>44</v>
      </c>
      <c r="R52" s="5"/>
      <c r="S52" s="155"/>
      <c r="T52" s="186" cm="1">
        <f t="array" ref="T52">getColor(C52,"index")</f>
        <v>44</v>
      </c>
      <c r="U52" s="186" cm="1">
        <f t="array" ref="U52">getColor(D52,"index")</f>
        <v>43</v>
      </c>
      <c r="V52" s="186" cm="1">
        <f t="array" ref="V52">getColor(E52,"index")</f>
        <v>44</v>
      </c>
      <c r="W52" s="186" cm="1">
        <f t="array" ref="W52">getColor(F52,"index")</f>
        <v>44</v>
      </c>
      <c r="X52" s="186" cm="1">
        <f t="array" ref="X52">getColor(G52,"index")</f>
        <v>44</v>
      </c>
      <c r="Y52" s="186" cm="1">
        <f t="array" ref="Y52">getColor(H52,"index")</f>
        <v>44</v>
      </c>
      <c r="Z52" s="186" cm="1">
        <f t="array" ref="Z52">getColor(I52,"index")</f>
        <v>44</v>
      </c>
      <c r="AA52" s="186" cm="1">
        <f t="array" ref="AA52">getColor(J52,"index")</f>
        <v>44</v>
      </c>
      <c r="AB52" s="186" cm="1">
        <f t="array" ref="AB52">getColor(K52,"index")</f>
        <v>2</v>
      </c>
      <c r="AC52" s="186" cm="1">
        <f t="array" ref="AC52">getColor(L52,"index")</f>
        <v>-4142</v>
      </c>
      <c r="AD52" s="186" cm="1">
        <f t="array" ref="AD52">getColor(M52,"index")</f>
        <v>-4142</v>
      </c>
      <c r="AE52" s="186" cm="1">
        <f t="array" ref="AE52">getColor(N52,"index")</f>
        <v>-4142</v>
      </c>
      <c r="AF52" s="186" cm="1">
        <f t="array" ref="AF52">getColor(O52,"index")</f>
        <v>-4142</v>
      </c>
      <c r="AG52" s="186" cm="1">
        <f t="array" ref="AG52">getColor(P52,"index")</f>
        <v>-4142</v>
      </c>
      <c r="AH52" s="177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</row>
    <row r="53" spans="1:82" x14ac:dyDescent="0.25">
      <c r="A53" s="87"/>
      <c r="B53" s="89"/>
      <c r="C53" s="30" t="s">
        <v>137</v>
      </c>
      <c r="D53" s="12" t="s">
        <v>154</v>
      </c>
      <c r="E53" s="118">
        <v>49</v>
      </c>
      <c r="F53" s="35" t="s">
        <v>155</v>
      </c>
      <c r="G53" s="118">
        <v>54</v>
      </c>
      <c r="H53" s="98" t="s">
        <v>156</v>
      </c>
      <c r="I53" s="98">
        <v>58</v>
      </c>
      <c r="J53" s="98">
        <f t="shared" si="33"/>
        <v>3.7</v>
      </c>
      <c r="K53" s="85"/>
      <c r="L53" s="7" cm="1">
        <f t="array" ref="L53">getColor(D53,"index")</f>
        <v>6</v>
      </c>
      <c r="M53" s="7" cm="1">
        <f t="array" ref="M53">getColor(E53,"index")</f>
        <v>3</v>
      </c>
      <c r="N53" s="7" cm="1">
        <f t="array" ref="N53">getColor(F53,"index")</f>
        <v>44</v>
      </c>
      <c r="O53" s="7" cm="1">
        <f t="array" ref="O53">getColor(G53,"index")</f>
        <v>3</v>
      </c>
      <c r="P53" s="7" cm="1">
        <f t="array" ref="P53">getColor(H53,"index")</f>
        <v>44</v>
      </c>
      <c r="Q53" s="7" cm="1">
        <f t="array" ref="Q53">getColor(I53,"index")</f>
        <v>44</v>
      </c>
      <c r="R53" s="5"/>
      <c r="S53" s="155"/>
      <c r="T53" s="186" cm="1">
        <f t="array" ref="T53">getColor(C53,"index")</f>
        <v>44</v>
      </c>
      <c r="U53" s="186" cm="1">
        <f t="array" ref="U53">getColor(D53,"index")</f>
        <v>6</v>
      </c>
      <c r="V53" s="186" cm="1">
        <f t="array" ref="V53">getColor(E53,"index")</f>
        <v>3</v>
      </c>
      <c r="W53" s="186" cm="1">
        <f t="array" ref="W53">getColor(F53,"index")</f>
        <v>44</v>
      </c>
      <c r="X53" s="186" cm="1">
        <f t="array" ref="X53">getColor(G53,"index")</f>
        <v>3</v>
      </c>
      <c r="Y53" s="186" cm="1">
        <f t="array" ref="Y53">getColor(H53,"index")</f>
        <v>44</v>
      </c>
      <c r="Z53" s="186" cm="1">
        <f t="array" ref="Z53">getColor(I53,"index")</f>
        <v>44</v>
      </c>
      <c r="AA53" s="186" cm="1">
        <f t="array" ref="AA53">getColor(J53,"index")</f>
        <v>44</v>
      </c>
      <c r="AB53" s="186" cm="1">
        <f t="array" ref="AB53">getColor(K53,"index")</f>
        <v>2</v>
      </c>
      <c r="AC53" s="186" cm="1">
        <f t="array" ref="AC53">getColor(L53,"index")</f>
        <v>-4142</v>
      </c>
      <c r="AD53" s="186" cm="1">
        <f t="array" ref="AD53">getColor(M53,"index")</f>
        <v>-4142</v>
      </c>
      <c r="AE53" s="186" cm="1">
        <f t="array" ref="AE53">getColor(N53,"index")</f>
        <v>-4142</v>
      </c>
      <c r="AF53" s="186" cm="1">
        <f t="array" ref="AF53">getColor(O53,"index")</f>
        <v>-4142</v>
      </c>
      <c r="AG53" s="186" cm="1">
        <f t="array" ref="AG53">getColor(P53,"index")</f>
        <v>-4142</v>
      </c>
      <c r="AH53" s="177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</row>
    <row r="54" spans="1:82" x14ac:dyDescent="0.25">
      <c r="A54" s="89"/>
      <c r="B54" s="89"/>
      <c r="C54" s="18" t="s">
        <v>138</v>
      </c>
      <c r="D54" s="25" t="s">
        <v>151</v>
      </c>
      <c r="E54" s="24">
        <v>40</v>
      </c>
      <c r="F54" s="11" t="s">
        <v>152</v>
      </c>
      <c r="G54" s="31">
        <v>45</v>
      </c>
      <c r="H54" s="95" t="s">
        <v>153</v>
      </c>
      <c r="I54" s="93">
        <v>51</v>
      </c>
      <c r="J54" s="121">
        <f t="shared" si="33"/>
        <v>4.7</v>
      </c>
      <c r="K54" s="85"/>
      <c r="L54" s="7" cm="1">
        <f t="array" ref="L54">getColor(D54,"index")</f>
        <v>14</v>
      </c>
      <c r="M54" s="7" cm="1">
        <f t="array" ref="M54">getColor(E54,"index")</f>
        <v>33</v>
      </c>
      <c r="N54" s="7" cm="1">
        <f t="array" ref="N54">getColor(F54,"index")</f>
        <v>43</v>
      </c>
      <c r="O54" s="7" cm="1">
        <f t="array" ref="O54">getColor(G54,"index")</f>
        <v>3</v>
      </c>
      <c r="P54" s="7" cm="1">
        <f t="array" ref="P54">getColor(H54,"index")</f>
        <v>6</v>
      </c>
      <c r="Q54" s="7" cm="1">
        <f t="array" ref="Q54">getColor(I54,"index")</f>
        <v>3</v>
      </c>
      <c r="R54" s="5"/>
      <c r="S54" s="155"/>
      <c r="T54" s="186" cm="1">
        <f t="array" ref="T54">getColor(C54,"index")</f>
        <v>44</v>
      </c>
      <c r="U54" s="186" cm="1">
        <f t="array" ref="U54">getColor(D54,"index")</f>
        <v>14</v>
      </c>
      <c r="V54" s="186" cm="1">
        <f t="array" ref="V54">getColor(E54,"index")</f>
        <v>33</v>
      </c>
      <c r="W54" s="186" cm="1">
        <f t="array" ref="W54">getColor(F54,"index")</f>
        <v>43</v>
      </c>
      <c r="X54" s="186" cm="1">
        <f t="array" ref="X54">getColor(G54,"index")</f>
        <v>3</v>
      </c>
      <c r="Y54" s="186" cm="1">
        <f t="array" ref="Y54">getColor(H54,"index")</f>
        <v>6</v>
      </c>
      <c r="Z54" s="186" cm="1">
        <f t="array" ref="Z54">getColor(I54,"index")</f>
        <v>3</v>
      </c>
      <c r="AA54" s="186" cm="1">
        <f t="array" ref="AA54">getColor(J54,"index")</f>
        <v>44</v>
      </c>
      <c r="AB54" s="186" cm="1">
        <f t="array" ref="AB54">getColor(K54,"index")</f>
        <v>2</v>
      </c>
      <c r="AC54" s="186" cm="1">
        <f t="array" ref="AC54">getColor(L54,"index")</f>
        <v>-4142</v>
      </c>
      <c r="AD54" s="186" cm="1">
        <f t="array" ref="AD54">getColor(M54,"index")</f>
        <v>-4142</v>
      </c>
      <c r="AE54" s="186" cm="1">
        <f t="array" ref="AE54">getColor(N54,"index")</f>
        <v>-4142</v>
      </c>
      <c r="AF54" s="186" cm="1">
        <f t="array" ref="AF54">getColor(O54,"index")</f>
        <v>-4142</v>
      </c>
      <c r="AG54" s="186" cm="1">
        <f t="array" ref="AG54">getColor(P54,"index")</f>
        <v>-4142</v>
      </c>
      <c r="AH54" s="177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</row>
    <row r="55" spans="1:82" x14ac:dyDescent="0.25">
      <c r="A55" s="87"/>
      <c r="B55" s="89"/>
      <c r="C55" s="18" t="s">
        <v>16</v>
      </c>
      <c r="D55" s="25" t="s">
        <v>164</v>
      </c>
      <c r="E55" s="24">
        <v>37</v>
      </c>
      <c r="F55" s="25" t="s">
        <v>149</v>
      </c>
      <c r="G55" s="24">
        <v>40</v>
      </c>
      <c r="H55" s="95" t="s">
        <v>150</v>
      </c>
      <c r="I55" s="122">
        <v>44</v>
      </c>
      <c r="J55" s="121">
        <f t="shared" si="33"/>
        <v>4.3</v>
      </c>
      <c r="K55" s="84"/>
      <c r="L55" s="7" cm="1">
        <f t="array" ref="L55">getColor(D55,"index")</f>
        <v>14</v>
      </c>
      <c r="M55" s="7" cm="1">
        <f t="array" ref="M55">getColor(E55,"index")</f>
        <v>33</v>
      </c>
      <c r="N55" s="7" cm="1">
        <f t="array" ref="N55">getColor(F55,"index")</f>
        <v>14</v>
      </c>
      <c r="O55" s="7" cm="1">
        <f t="array" ref="O55">getColor(G55,"index")</f>
        <v>33</v>
      </c>
      <c r="P55" s="7" cm="1">
        <f t="array" ref="P55">getColor(H55,"index")</f>
        <v>6</v>
      </c>
      <c r="Q55" s="7" cm="1">
        <f t="array" ref="Q55">getColor(I55,"index")</f>
        <v>33</v>
      </c>
      <c r="R55" s="5"/>
      <c r="S55" s="155"/>
      <c r="T55" s="186" cm="1">
        <f t="array" ref="T55">getColor(C55,"index")</f>
        <v>44</v>
      </c>
      <c r="U55" s="186" cm="1">
        <f t="array" ref="U55">getColor(D55,"index")</f>
        <v>14</v>
      </c>
      <c r="V55" s="186" cm="1">
        <f t="array" ref="V55">getColor(E55,"index")</f>
        <v>33</v>
      </c>
      <c r="W55" s="186" cm="1">
        <f t="array" ref="W55">getColor(F55,"index")</f>
        <v>14</v>
      </c>
      <c r="X55" s="186" cm="1">
        <f t="array" ref="X55">getColor(G55,"index")</f>
        <v>33</v>
      </c>
      <c r="Y55" s="186" cm="1">
        <f t="array" ref="Y55">getColor(H55,"index")</f>
        <v>6</v>
      </c>
      <c r="Z55" s="186" cm="1">
        <f t="array" ref="Z55">getColor(I55,"index")</f>
        <v>33</v>
      </c>
      <c r="AA55" s="186" cm="1">
        <f t="array" ref="AA55">getColor(J55,"index")</f>
        <v>44</v>
      </c>
      <c r="AB55" s="186" cm="1">
        <f t="array" ref="AB55">getColor(K55,"index")</f>
        <v>2</v>
      </c>
      <c r="AC55" s="186" cm="1">
        <f t="array" ref="AC55">getColor(L55,"index")</f>
        <v>-4142</v>
      </c>
      <c r="AD55" s="186" cm="1">
        <f t="array" ref="AD55">getColor(M55,"index")</f>
        <v>-4142</v>
      </c>
      <c r="AE55" s="186" cm="1">
        <f t="array" ref="AE55">getColor(N55,"index")</f>
        <v>-4142</v>
      </c>
      <c r="AF55" s="186" cm="1">
        <f t="array" ref="AF55">getColor(O55,"index")</f>
        <v>-4142</v>
      </c>
      <c r="AG55" s="186" cm="1">
        <f t="array" ref="AG55">getColor(P55,"index")</f>
        <v>-4142</v>
      </c>
      <c r="AH55" s="177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</row>
    <row r="56" spans="1:82" x14ac:dyDescent="0.25">
      <c r="A56" s="87"/>
      <c r="B56" s="87"/>
      <c r="C56" s="18" t="s">
        <v>135</v>
      </c>
      <c r="D56" s="25" t="s">
        <v>146</v>
      </c>
      <c r="E56" s="24">
        <v>35</v>
      </c>
      <c r="F56" s="15" t="s">
        <v>147</v>
      </c>
      <c r="G56" s="24">
        <v>43</v>
      </c>
      <c r="H56" s="95" t="s">
        <v>148</v>
      </c>
      <c r="I56" s="93">
        <v>45</v>
      </c>
      <c r="J56" s="121">
        <f t="shared" si="33"/>
        <v>4</v>
      </c>
      <c r="K56" s="85"/>
      <c r="L56" s="7" cm="1">
        <f t="array" ref="L56">getColor(D56,"index")</f>
        <v>14</v>
      </c>
      <c r="M56" s="7" cm="1">
        <f t="array" ref="M56">getColor(E56,"index")</f>
        <v>33</v>
      </c>
      <c r="N56" s="7" cm="1">
        <f t="array" ref="N56">getColor(F56,"index")</f>
        <v>6</v>
      </c>
      <c r="O56" s="7" cm="1">
        <f t="array" ref="O56">getColor(G56,"index")</f>
        <v>33</v>
      </c>
      <c r="P56" s="7" cm="1">
        <f t="array" ref="P56">getColor(H56,"index")</f>
        <v>6</v>
      </c>
      <c r="Q56" s="7" cm="1">
        <f t="array" ref="Q56">getColor(I56,"index")</f>
        <v>3</v>
      </c>
      <c r="R56" s="5"/>
      <c r="S56" s="155"/>
      <c r="T56" s="186" cm="1">
        <f t="array" ref="T56">getColor(C56,"index")</f>
        <v>44</v>
      </c>
      <c r="U56" s="186" cm="1">
        <f t="array" ref="U56">getColor(D56,"index")</f>
        <v>14</v>
      </c>
      <c r="V56" s="186" cm="1">
        <f t="array" ref="V56">getColor(E56,"index")</f>
        <v>33</v>
      </c>
      <c r="W56" s="186" cm="1">
        <f t="array" ref="W56">getColor(F56,"index")</f>
        <v>6</v>
      </c>
      <c r="X56" s="186" cm="1">
        <f t="array" ref="X56">getColor(G56,"index")</f>
        <v>33</v>
      </c>
      <c r="Y56" s="186" cm="1">
        <f t="array" ref="Y56">getColor(H56,"index")</f>
        <v>6</v>
      </c>
      <c r="Z56" s="186" cm="1">
        <f t="array" ref="Z56">getColor(I56,"index")</f>
        <v>3</v>
      </c>
      <c r="AA56" s="186" cm="1">
        <f t="array" ref="AA56">getColor(J56,"index")</f>
        <v>44</v>
      </c>
      <c r="AB56" s="186" cm="1">
        <f t="array" ref="AB56">getColor(K56,"index")</f>
        <v>2</v>
      </c>
      <c r="AC56" s="186" cm="1">
        <f t="array" ref="AC56">getColor(L56,"index")</f>
        <v>-4142</v>
      </c>
      <c r="AD56" s="186" cm="1">
        <f t="array" ref="AD56">getColor(M56,"index")</f>
        <v>-4142</v>
      </c>
      <c r="AE56" s="186" cm="1">
        <f t="array" ref="AE56">getColor(N56,"index")</f>
        <v>-4142</v>
      </c>
      <c r="AF56" s="186" cm="1">
        <f t="array" ref="AF56">getColor(O56,"index")</f>
        <v>-4142</v>
      </c>
      <c r="AG56" s="186" cm="1">
        <f t="array" ref="AG56">getColor(P56,"index")</f>
        <v>-4142</v>
      </c>
      <c r="AH56" s="177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</row>
    <row r="57" spans="1:82" x14ac:dyDescent="0.25">
      <c r="A57" s="87"/>
      <c r="B57" s="87"/>
      <c r="C57" s="129" t="s">
        <v>136</v>
      </c>
      <c r="D57" s="17" t="s">
        <v>143</v>
      </c>
      <c r="E57" s="16">
        <v>102</v>
      </c>
      <c r="F57" s="35" t="s">
        <v>144</v>
      </c>
      <c r="G57" s="16">
        <v>115</v>
      </c>
      <c r="H57" s="94" t="s">
        <v>145</v>
      </c>
      <c r="I57" s="99">
        <v>165</v>
      </c>
      <c r="J57" s="120">
        <f t="shared" si="33"/>
        <v>7</v>
      </c>
      <c r="K57" s="85"/>
      <c r="L57" s="7" cm="1">
        <f t="array" ref="L57">getColor(D57,"index")</f>
        <v>43</v>
      </c>
      <c r="M57" s="7" cm="1">
        <f t="array" ref="M57">getColor(E57,"index")</f>
        <v>14</v>
      </c>
      <c r="N57" s="7" cm="1">
        <f t="array" ref="N57">getColor(F57,"index")</f>
        <v>44</v>
      </c>
      <c r="O57" s="7" cm="1">
        <f t="array" ref="O57">getColor(G57,"index")</f>
        <v>14</v>
      </c>
      <c r="P57" s="7" cm="1">
        <f t="array" ref="P57">getColor(H57,"index")</f>
        <v>33</v>
      </c>
      <c r="Q57" s="7" cm="1">
        <f t="array" ref="Q57">getColor(I57,"index")</f>
        <v>14</v>
      </c>
      <c r="R57" s="5"/>
      <c r="S57" s="155"/>
      <c r="T57" s="186" cm="1">
        <f t="array" ref="T57">getColor(C57,"index")</f>
        <v>43</v>
      </c>
      <c r="U57" s="186" cm="1">
        <f t="array" ref="U57">getColor(D57,"index")</f>
        <v>43</v>
      </c>
      <c r="V57" s="186" cm="1">
        <f t="array" ref="V57">getColor(E57,"index")</f>
        <v>14</v>
      </c>
      <c r="W57" s="186" cm="1">
        <f t="array" ref="W57">getColor(F57,"index")</f>
        <v>44</v>
      </c>
      <c r="X57" s="186" cm="1">
        <f t="array" ref="X57">getColor(G57,"index")</f>
        <v>14</v>
      </c>
      <c r="Y57" s="186" cm="1">
        <f t="array" ref="Y57">getColor(H57,"index")</f>
        <v>33</v>
      </c>
      <c r="Z57" s="186" cm="1">
        <f t="array" ref="Z57">getColor(I57,"index")</f>
        <v>14</v>
      </c>
      <c r="AA57" s="186" cm="1">
        <f t="array" ref="AA57">getColor(J57,"index")</f>
        <v>43</v>
      </c>
      <c r="AB57" s="186" cm="1">
        <f t="array" ref="AB57">getColor(K57,"index")</f>
        <v>2</v>
      </c>
      <c r="AC57" s="186" cm="1">
        <f t="array" ref="AC57">getColor(L57,"index")</f>
        <v>-4142</v>
      </c>
      <c r="AD57" s="186" cm="1">
        <f t="array" ref="AD57">getColor(M57,"index")</f>
        <v>-4142</v>
      </c>
      <c r="AE57" s="186" cm="1">
        <f t="array" ref="AE57">getColor(N57,"index")</f>
        <v>-4142</v>
      </c>
      <c r="AF57" s="186" cm="1">
        <f t="array" ref="AF57">getColor(O57,"index")</f>
        <v>-4142</v>
      </c>
      <c r="AG57" s="186" cm="1">
        <f t="array" ref="AG57">getColor(P57,"index")</f>
        <v>-4142</v>
      </c>
      <c r="AH57" s="177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</row>
    <row r="58" spans="1:82" x14ac:dyDescent="0.25">
      <c r="A58" s="89"/>
      <c r="B58" s="87"/>
      <c r="C58" s="18" t="s">
        <v>30</v>
      </c>
      <c r="D58" s="15" t="s">
        <v>140</v>
      </c>
      <c r="E58" s="15">
        <v>70</v>
      </c>
      <c r="F58" s="31" t="s">
        <v>141</v>
      </c>
      <c r="G58" s="15">
        <v>69</v>
      </c>
      <c r="H58" s="93" t="s">
        <v>142</v>
      </c>
      <c r="I58" s="95">
        <v>74</v>
      </c>
      <c r="J58" s="121">
        <f t="shared" si="33"/>
        <v>4.7</v>
      </c>
      <c r="K58" s="85"/>
      <c r="L58" s="7" cm="1">
        <f t="array" ref="L58">getColor(D58,"index")</f>
        <v>6</v>
      </c>
      <c r="M58" s="7" cm="1">
        <f t="array" ref="M58">getColor(E58,"index")</f>
        <v>6</v>
      </c>
      <c r="N58" s="7" cm="1">
        <f t="array" ref="N58">getColor(F58,"index")</f>
        <v>3</v>
      </c>
      <c r="O58" s="7" cm="1">
        <f t="array" ref="O58">getColor(G58,"index")</f>
        <v>6</v>
      </c>
      <c r="P58" s="7" cm="1">
        <f t="array" ref="P58">getColor(H58,"index")</f>
        <v>3</v>
      </c>
      <c r="Q58" s="7" cm="1">
        <f t="array" ref="Q58">getColor(I58,"index")</f>
        <v>6</v>
      </c>
      <c r="R58" s="5"/>
      <c r="S58" s="155"/>
      <c r="T58" s="186" cm="1">
        <f t="array" ref="T58">getColor(C58,"index")</f>
        <v>44</v>
      </c>
      <c r="U58" s="186" cm="1">
        <f t="array" ref="U58">getColor(D58,"index")</f>
        <v>6</v>
      </c>
      <c r="V58" s="186" cm="1">
        <f t="array" ref="V58">getColor(E58,"index")</f>
        <v>6</v>
      </c>
      <c r="W58" s="186" cm="1">
        <f t="array" ref="W58">getColor(F58,"index")</f>
        <v>3</v>
      </c>
      <c r="X58" s="186" cm="1">
        <f t="array" ref="X58">getColor(G58,"index")</f>
        <v>6</v>
      </c>
      <c r="Y58" s="186" cm="1">
        <f t="array" ref="Y58">getColor(H58,"index")</f>
        <v>3</v>
      </c>
      <c r="Z58" s="186" cm="1">
        <f t="array" ref="Z58">getColor(I58,"index")</f>
        <v>6</v>
      </c>
      <c r="AA58" s="186" cm="1">
        <f t="array" ref="AA58">getColor(J58,"index")</f>
        <v>44</v>
      </c>
      <c r="AB58" s="186" cm="1">
        <f t="array" ref="AB58">getColor(K58,"index")</f>
        <v>2</v>
      </c>
      <c r="AC58" s="186" cm="1">
        <f t="array" ref="AC58">getColor(L58,"index")</f>
        <v>-4142</v>
      </c>
      <c r="AD58" s="186" cm="1">
        <f t="array" ref="AD58">getColor(M58,"index")</f>
        <v>-4142</v>
      </c>
      <c r="AE58" s="186" cm="1">
        <f t="array" ref="AE58">getColor(N58,"index")</f>
        <v>-4142</v>
      </c>
      <c r="AF58" s="186" cm="1">
        <f t="array" ref="AF58">getColor(O58,"index")</f>
        <v>-4142</v>
      </c>
      <c r="AG58" s="186" cm="1">
        <f t="array" ref="AG58">getColor(P58,"index")</f>
        <v>-4142</v>
      </c>
      <c r="AH58" s="177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</row>
    <row r="59" spans="1:82" x14ac:dyDescent="0.25">
      <c r="A59" s="89"/>
      <c r="B59" s="89"/>
      <c r="C59" s="170" t="s">
        <v>42</v>
      </c>
      <c r="D59" s="167" t="s">
        <v>131</v>
      </c>
      <c r="E59" s="168">
        <v>90</v>
      </c>
      <c r="F59" s="171" t="s">
        <v>132</v>
      </c>
      <c r="G59" s="166">
        <v>73</v>
      </c>
      <c r="H59" s="172" t="s">
        <v>133</v>
      </c>
      <c r="I59" s="173">
        <v>98</v>
      </c>
      <c r="J59" s="174">
        <f t="shared" si="33"/>
        <v>6.7</v>
      </c>
      <c r="K59" s="85"/>
      <c r="L59" s="7" cm="1">
        <f t="array" ref="L59">getColor(D59,"index")</f>
        <v>43</v>
      </c>
      <c r="M59" s="7" cm="1">
        <f t="array" ref="M59">getColor(E59,"index")</f>
        <v>14</v>
      </c>
      <c r="N59" s="7" cm="1">
        <f t="array" ref="N59">getColor(F59,"index")</f>
        <v>44</v>
      </c>
      <c r="O59" s="7" cm="1">
        <f t="array" ref="O59">getColor(G59,"index")</f>
        <v>6</v>
      </c>
      <c r="P59" s="7" cm="1">
        <f t="array" ref="P59">getColor(H59,"index")</f>
        <v>3</v>
      </c>
      <c r="Q59" s="7" cm="1">
        <f t="array" ref="Q59">getColor(I59,"index")</f>
        <v>14</v>
      </c>
      <c r="R59" s="5"/>
      <c r="S59" s="155"/>
      <c r="T59" s="186" cm="1">
        <f t="array" ref="T59">getColor(C59,"index")</f>
        <v>6</v>
      </c>
      <c r="U59" s="186" cm="1">
        <f t="array" ref="U59">getColor(D59,"index")</f>
        <v>43</v>
      </c>
      <c r="V59" s="186" cm="1">
        <f t="array" ref="V59">getColor(E59,"index")</f>
        <v>14</v>
      </c>
      <c r="W59" s="186" cm="1">
        <f t="array" ref="W59">getColor(F59,"index")</f>
        <v>44</v>
      </c>
      <c r="X59" s="186" cm="1">
        <f t="array" ref="X59">getColor(G59,"index")</f>
        <v>6</v>
      </c>
      <c r="Y59" s="186" cm="1">
        <f t="array" ref="Y59">getColor(H59,"index")</f>
        <v>3</v>
      </c>
      <c r="Z59" s="186" cm="1">
        <f t="array" ref="Z59">getColor(I59,"index")</f>
        <v>14</v>
      </c>
      <c r="AA59" s="186" cm="1">
        <f t="array" ref="AA59">getColor(J59,"index")</f>
        <v>6</v>
      </c>
      <c r="AB59" s="186" cm="1">
        <f t="array" ref="AB59">getColor(K59,"index")</f>
        <v>2</v>
      </c>
      <c r="AC59" s="186" cm="1">
        <f t="array" ref="AC59">getColor(L59,"index")</f>
        <v>-4142</v>
      </c>
      <c r="AD59" s="186" cm="1">
        <f t="array" ref="AD59">getColor(M59,"index")</f>
        <v>-4142</v>
      </c>
      <c r="AE59" s="186" cm="1">
        <f t="array" ref="AE59">getColor(N59,"index")</f>
        <v>-4142</v>
      </c>
      <c r="AF59" s="186" cm="1">
        <f t="array" ref="AF59">getColor(O59,"index")</f>
        <v>-4142</v>
      </c>
      <c r="AG59" s="186" cm="1">
        <f t="array" ref="AG59">getColor(P59,"index")</f>
        <v>-4142</v>
      </c>
      <c r="AH59" s="177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</row>
    <row r="60" spans="1:82" x14ac:dyDescent="0.25">
      <c r="A60" s="89"/>
      <c r="B60" s="89"/>
      <c r="C60" s="83"/>
      <c r="D60" s="83"/>
      <c r="E60" s="83"/>
      <c r="F60" s="83"/>
      <c r="G60" s="83"/>
      <c r="H60" s="81"/>
      <c r="I60" s="81"/>
      <c r="J60" s="87"/>
      <c r="K60" s="85"/>
      <c r="L60" s="128"/>
      <c r="M60" s="85"/>
      <c r="N60" s="97"/>
      <c r="O60" s="97"/>
      <c r="P60" s="96"/>
      <c r="Q60" s="7"/>
      <c r="R60" s="5"/>
      <c r="S60" s="155"/>
      <c r="T60" s="186" cm="1">
        <f t="array" ref="T60">getColor(C60,"index")</f>
        <v>2</v>
      </c>
      <c r="U60" s="186" cm="1">
        <f t="array" ref="U60">getColor(D60,"index")</f>
        <v>2</v>
      </c>
      <c r="V60" s="186" cm="1">
        <f t="array" ref="V60">getColor(E60,"index")</f>
        <v>2</v>
      </c>
      <c r="W60" s="186" cm="1">
        <f t="array" ref="W60">getColor(F60,"index")</f>
        <v>2</v>
      </c>
      <c r="X60" s="186" cm="1">
        <f t="array" ref="X60">getColor(G60,"index")</f>
        <v>2</v>
      </c>
      <c r="Y60" s="186" cm="1">
        <f t="array" ref="Y60">getColor(H60,"index")</f>
        <v>2</v>
      </c>
      <c r="Z60" s="186" cm="1">
        <f t="array" ref="Z60">getColor(I60,"index")</f>
        <v>2</v>
      </c>
      <c r="AA60" s="186" cm="1">
        <f t="array" ref="AA60">getColor(J60,"index")</f>
        <v>2</v>
      </c>
      <c r="AB60" s="186" cm="1">
        <f t="array" ref="AB60">getColor(K60,"index")</f>
        <v>2</v>
      </c>
      <c r="AC60" s="186" cm="1">
        <f t="array" ref="AC60">getColor(L60,"index")</f>
        <v>2</v>
      </c>
      <c r="AD60" s="186" cm="1">
        <f t="array" ref="AD60">getColor(M60,"index")</f>
        <v>2</v>
      </c>
      <c r="AE60" s="186" cm="1">
        <f t="array" ref="AE60">getColor(N60,"index")</f>
        <v>2</v>
      </c>
      <c r="AF60" s="186" cm="1">
        <f t="array" ref="AF60">getColor(O60,"index")</f>
        <v>2</v>
      </c>
      <c r="AG60" s="186" cm="1">
        <f t="array" ref="AG60">getColor(P60,"index")</f>
        <v>2</v>
      </c>
      <c r="AH60" s="177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</row>
    <row r="61" spans="1:82" x14ac:dyDescent="0.25">
      <c r="A61" s="101"/>
      <c r="B61" s="89"/>
      <c r="C61" s="108"/>
      <c r="D61" s="108"/>
      <c r="E61" s="108"/>
      <c r="F61" s="108"/>
      <c r="G61" s="108"/>
      <c r="H61" s="108"/>
      <c r="I61" s="108"/>
      <c r="J61" s="76"/>
      <c r="K61" s="85"/>
      <c r="L61" s="128"/>
      <c r="M61" s="85"/>
      <c r="N61" s="96"/>
      <c r="O61" s="96"/>
      <c r="P61" s="96"/>
      <c r="Q61" s="7"/>
      <c r="R61" s="5"/>
      <c r="S61" s="155"/>
      <c r="T61" s="186" cm="1">
        <f t="array" ref="T61">getColor(C61,"index")</f>
        <v>2</v>
      </c>
      <c r="U61" s="186" cm="1">
        <f t="array" ref="U61">getColor(D61,"index")</f>
        <v>2</v>
      </c>
      <c r="V61" s="186" cm="1">
        <f t="array" ref="V61">getColor(E61,"index")</f>
        <v>2</v>
      </c>
      <c r="W61" s="186" cm="1">
        <f t="array" ref="W61">getColor(F61,"index")</f>
        <v>2</v>
      </c>
      <c r="X61" s="186" cm="1">
        <f t="array" ref="X61">getColor(G61,"index")</f>
        <v>2</v>
      </c>
      <c r="Y61" s="186" cm="1">
        <f t="array" ref="Y61">getColor(H61,"index")</f>
        <v>2</v>
      </c>
      <c r="Z61" s="186" cm="1">
        <f t="array" ref="Z61">getColor(I61,"index")</f>
        <v>2</v>
      </c>
      <c r="AA61" s="186" cm="1">
        <f t="array" ref="AA61">getColor(J61,"index")</f>
        <v>2</v>
      </c>
      <c r="AB61" s="186" cm="1">
        <f t="array" ref="AB61">getColor(K61,"index")</f>
        <v>2</v>
      </c>
      <c r="AC61" s="186" cm="1">
        <f t="array" ref="AC61">getColor(L61,"index")</f>
        <v>2</v>
      </c>
      <c r="AD61" s="186" cm="1">
        <f t="array" ref="AD61">getColor(M61,"index")</f>
        <v>2</v>
      </c>
      <c r="AE61" s="186" cm="1">
        <f t="array" ref="AE61">getColor(N61,"index")</f>
        <v>2</v>
      </c>
      <c r="AF61" s="186" cm="1">
        <f t="array" ref="AF61">getColor(O61,"index")</f>
        <v>2</v>
      </c>
      <c r="AG61" s="186" cm="1">
        <f t="array" ref="AG61">getColor(P61,"index")</f>
        <v>2</v>
      </c>
      <c r="AH61" s="177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</row>
    <row r="62" spans="1:82" x14ac:dyDescent="0.25">
      <c r="A62" s="87"/>
      <c r="B62" s="103"/>
      <c r="C62" s="104"/>
      <c r="D62" s="116" t="s">
        <v>127</v>
      </c>
      <c r="E62" s="117"/>
      <c r="F62" s="116" t="s">
        <v>127</v>
      </c>
      <c r="G62" s="124"/>
      <c r="H62" s="116" t="s">
        <v>127</v>
      </c>
      <c r="I62" s="125"/>
      <c r="J62" s="130"/>
      <c r="K62" s="85"/>
      <c r="L62" s="7">
        <f t="shared" ref="L62:Q73" si="34">IF(L48=14,10,IF(L48=43,8,IF(L48=6,6,IF(L48=44,4,IF(L48=3,2,IF(L48=33,0,IF(L48,-2,0)))))))</f>
        <v>10</v>
      </c>
      <c r="M62" s="7">
        <f t="shared" si="34"/>
        <v>4</v>
      </c>
      <c r="N62" s="7">
        <f t="shared" si="34"/>
        <v>10</v>
      </c>
      <c r="O62" s="7">
        <f t="shared" si="34"/>
        <v>4</v>
      </c>
      <c r="P62" s="7">
        <f t="shared" si="34"/>
        <v>8</v>
      </c>
      <c r="Q62" s="7">
        <f t="shared" si="34"/>
        <v>4</v>
      </c>
      <c r="R62" s="5"/>
      <c r="S62" s="155"/>
      <c r="T62" s="186" cm="1">
        <f t="array" ref="T62">getColor(C62,"index")</f>
        <v>2</v>
      </c>
      <c r="U62" s="186" cm="1">
        <f t="array" ref="U62">getColor(D62,"index")</f>
        <v>2</v>
      </c>
      <c r="V62" s="186" cm="1">
        <f t="array" ref="V62">getColor(E62,"index")</f>
        <v>2</v>
      </c>
      <c r="W62" s="186" cm="1">
        <f t="array" ref="W62">getColor(F62,"index")</f>
        <v>2</v>
      </c>
      <c r="X62" s="186" cm="1">
        <f t="array" ref="X62">getColor(G62,"index")</f>
        <v>2</v>
      </c>
      <c r="Y62" s="186" cm="1">
        <f t="array" ref="Y62">getColor(H62,"index")</f>
        <v>2</v>
      </c>
      <c r="Z62" s="186" cm="1">
        <f t="array" ref="Z62">getColor(I62,"index")</f>
        <v>2</v>
      </c>
      <c r="AA62" s="186" cm="1">
        <f t="array" ref="AA62">getColor(J62,"index")</f>
        <v>2</v>
      </c>
      <c r="AB62" s="186" cm="1">
        <f t="array" ref="AB62">getColor(K62,"index")</f>
        <v>2</v>
      </c>
      <c r="AC62" s="186" cm="1">
        <f t="array" ref="AC62">getColor(L62,"index")</f>
        <v>-4142</v>
      </c>
      <c r="AD62" s="186" cm="1">
        <f t="array" ref="AD62">getColor(M62,"index")</f>
        <v>-4142</v>
      </c>
      <c r="AE62" s="186" cm="1">
        <f t="array" ref="AE62">getColor(N62,"index")</f>
        <v>-4142</v>
      </c>
      <c r="AF62" s="186" cm="1">
        <f t="array" ref="AF62">getColor(O62,"index")</f>
        <v>-4142</v>
      </c>
      <c r="AG62" s="186" cm="1">
        <f t="array" ref="AG62">getColor(P62,"index")</f>
        <v>-4142</v>
      </c>
      <c r="AH62" s="177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</row>
    <row r="63" spans="1:82" x14ac:dyDescent="0.25">
      <c r="A63" s="83"/>
      <c r="B63" s="106"/>
      <c r="C63" s="112"/>
      <c r="D63" s="25" t="s">
        <v>119</v>
      </c>
      <c r="E63" s="25" t="s">
        <v>185</v>
      </c>
      <c r="F63" s="25" t="s">
        <v>119</v>
      </c>
      <c r="G63" s="25" t="s">
        <v>185</v>
      </c>
      <c r="H63" s="25" t="s">
        <v>119</v>
      </c>
      <c r="I63" s="25" t="s">
        <v>185</v>
      </c>
      <c r="J63" s="131" t="s">
        <v>187</v>
      </c>
      <c r="K63" s="128"/>
      <c r="L63" s="7">
        <f t="shared" si="34"/>
        <v>6</v>
      </c>
      <c r="M63" s="7">
        <f t="shared" si="34"/>
        <v>2</v>
      </c>
      <c r="N63" s="7">
        <f t="shared" si="34"/>
        <v>4</v>
      </c>
      <c r="O63" s="7">
        <f t="shared" si="34"/>
        <v>2</v>
      </c>
      <c r="P63" s="7">
        <f t="shared" si="34"/>
        <v>2</v>
      </c>
      <c r="Q63" s="7">
        <f t="shared" si="34"/>
        <v>2</v>
      </c>
      <c r="R63" s="5"/>
      <c r="S63" s="155"/>
      <c r="T63" s="186" cm="1">
        <f t="array" ref="T63">getColor(C63,"index")</f>
        <v>2</v>
      </c>
      <c r="U63" s="186" cm="1">
        <f t="array" ref="U63">getColor(D63,"index")</f>
        <v>14</v>
      </c>
      <c r="V63" s="186" cm="1">
        <f t="array" ref="V63">getColor(E63,"index")</f>
        <v>14</v>
      </c>
      <c r="W63" s="186" cm="1">
        <f t="array" ref="W63">getColor(F63,"index")</f>
        <v>14</v>
      </c>
      <c r="X63" s="186" cm="1">
        <f t="array" ref="X63">getColor(G63,"index")</f>
        <v>14</v>
      </c>
      <c r="Y63" s="186" cm="1">
        <f t="array" ref="Y63">getColor(H63,"index")</f>
        <v>14</v>
      </c>
      <c r="Z63" s="186" cm="1">
        <f t="array" ref="Z63">getColor(I63,"index")</f>
        <v>14</v>
      </c>
      <c r="AA63" s="186" cm="1">
        <f t="array" ref="AA63">getColor(J63,"index")</f>
        <v>14</v>
      </c>
      <c r="AB63" s="186" cm="1">
        <f t="array" ref="AB63">getColor(K63,"index")</f>
        <v>2</v>
      </c>
      <c r="AC63" s="186" cm="1">
        <f t="array" ref="AC63">getColor(L63,"index")</f>
        <v>-4142</v>
      </c>
      <c r="AD63" s="186" cm="1">
        <f t="array" ref="AD63">getColor(M63,"index")</f>
        <v>-4142</v>
      </c>
      <c r="AE63" s="186" cm="1">
        <f t="array" ref="AE63">getColor(N63,"index")</f>
        <v>-4142</v>
      </c>
      <c r="AF63" s="186" cm="1">
        <f t="array" ref="AF63">getColor(O63,"index")</f>
        <v>-4142</v>
      </c>
      <c r="AG63" s="186" cm="1">
        <f t="array" ref="AG63">getColor(P63,"index")</f>
        <v>-4142</v>
      </c>
      <c r="AH63" s="177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</row>
    <row r="64" spans="1:82" x14ac:dyDescent="0.25">
      <c r="A64" s="83"/>
      <c r="B64" s="106"/>
      <c r="C64" s="112"/>
      <c r="D64" s="11" t="s">
        <v>120</v>
      </c>
      <c r="E64" s="11" t="s">
        <v>179</v>
      </c>
      <c r="F64" s="11" t="s">
        <v>120</v>
      </c>
      <c r="G64" s="11" t="s">
        <v>179</v>
      </c>
      <c r="H64" s="11" t="s">
        <v>120</v>
      </c>
      <c r="I64" s="11" t="s">
        <v>179</v>
      </c>
      <c r="J64" s="132" t="s">
        <v>188</v>
      </c>
      <c r="K64" s="128"/>
      <c r="L64" s="7">
        <f t="shared" si="34"/>
        <v>10</v>
      </c>
      <c r="M64" s="7">
        <f t="shared" si="34"/>
        <v>10</v>
      </c>
      <c r="N64" s="7">
        <f t="shared" si="34"/>
        <v>10</v>
      </c>
      <c r="O64" s="7">
        <f t="shared" si="34"/>
        <v>8</v>
      </c>
      <c r="P64" s="7">
        <f t="shared" si="34"/>
        <v>10</v>
      </c>
      <c r="Q64" s="7">
        <f t="shared" si="34"/>
        <v>8</v>
      </c>
      <c r="R64" s="5"/>
      <c r="S64" s="156"/>
      <c r="T64" s="184"/>
      <c r="U64" s="184"/>
      <c r="V64" s="184"/>
      <c r="W64" s="184"/>
      <c r="X64" s="184"/>
      <c r="Y64" s="184"/>
      <c r="Z64" s="184"/>
      <c r="AA64" s="184"/>
      <c r="AB64" s="184"/>
      <c r="AC64" s="184"/>
      <c r="AD64" s="184"/>
      <c r="AE64" s="184"/>
      <c r="AF64" s="184"/>
      <c r="AG64" s="184"/>
      <c r="AH64" s="18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</row>
    <row r="65" spans="1:82" x14ac:dyDescent="0.25">
      <c r="A65" s="83"/>
      <c r="B65" s="86"/>
      <c r="C65" s="113"/>
      <c r="D65" s="15" t="s">
        <v>121</v>
      </c>
      <c r="E65" s="15" t="s">
        <v>180</v>
      </c>
      <c r="F65" s="15" t="s">
        <v>121</v>
      </c>
      <c r="G65" s="15" t="s">
        <v>180</v>
      </c>
      <c r="H65" s="15" t="s">
        <v>121</v>
      </c>
      <c r="I65" s="15" t="s">
        <v>180</v>
      </c>
      <c r="J65" s="133" t="s">
        <v>189</v>
      </c>
      <c r="K65" s="128"/>
      <c r="L65" s="7">
        <f t="shared" si="34"/>
        <v>10</v>
      </c>
      <c r="M65" s="7">
        <f t="shared" si="34"/>
        <v>6</v>
      </c>
      <c r="N65" s="7">
        <f t="shared" si="34"/>
        <v>10</v>
      </c>
      <c r="O65" s="7">
        <f t="shared" si="34"/>
        <v>6</v>
      </c>
      <c r="P65" s="7">
        <f t="shared" si="34"/>
        <v>10</v>
      </c>
      <c r="Q65" s="7">
        <f t="shared" si="34"/>
        <v>8</v>
      </c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</row>
    <row r="66" spans="1:82" x14ac:dyDescent="0.25">
      <c r="A66" s="83"/>
      <c r="B66" s="86"/>
      <c r="C66" s="113"/>
      <c r="D66" s="23" t="s">
        <v>122</v>
      </c>
      <c r="E66" s="23" t="s">
        <v>181</v>
      </c>
      <c r="F66" s="23" t="s">
        <v>122</v>
      </c>
      <c r="G66" s="23" t="s">
        <v>181</v>
      </c>
      <c r="H66" s="23" t="s">
        <v>122</v>
      </c>
      <c r="I66" s="23" t="s">
        <v>181</v>
      </c>
      <c r="J66" s="134" t="s">
        <v>190</v>
      </c>
      <c r="K66" s="128"/>
      <c r="L66" s="7">
        <f t="shared" si="34"/>
        <v>8</v>
      </c>
      <c r="M66" s="7">
        <f t="shared" si="34"/>
        <v>4</v>
      </c>
      <c r="N66" s="7">
        <f t="shared" si="34"/>
        <v>4</v>
      </c>
      <c r="O66" s="7">
        <f t="shared" si="34"/>
        <v>4</v>
      </c>
      <c r="P66" s="7">
        <f t="shared" si="34"/>
        <v>4</v>
      </c>
      <c r="Q66" s="7">
        <f t="shared" si="34"/>
        <v>4</v>
      </c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</row>
    <row r="67" spans="1:82" x14ac:dyDescent="0.25">
      <c r="A67" s="81"/>
      <c r="B67" s="82"/>
      <c r="C67" s="114"/>
      <c r="D67" s="31" t="s">
        <v>123</v>
      </c>
      <c r="E67" s="118" t="s">
        <v>182</v>
      </c>
      <c r="F67" s="31" t="s">
        <v>123</v>
      </c>
      <c r="G67" s="118" t="s">
        <v>182</v>
      </c>
      <c r="H67" s="31" t="s">
        <v>123</v>
      </c>
      <c r="I67" s="118" t="s">
        <v>182</v>
      </c>
      <c r="J67" s="135" t="s">
        <v>191</v>
      </c>
      <c r="K67" s="128"/>
      <c r="L67" s="7">
        <f t="shared" si="34"/>
        <v>6</v>
      </c>
      <c r="M67" s="7">
        <f t="shared" si="34"/>
        <v>2</v>
      </c>
      <c r="N67" s="7">
        <f t="shared" si="34"/>
        <v>4</v>
      </c>
      <c r="O67" s="7">
        <f t="shared" si="34"/>
        <v>2</v>
      </c>
      <c r="P67" s="7">
        <f t="shared" si="34"/>
        <v>4</v>
      </c>
      <c r="Q67" s="7">
        <f t="shared" si="34"/>
        <v>4</v>
      </c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</row>
    <row r="68" spans="1:82" x14ac:dyDescent="0.25">
      <c r="A68" s="83"/>
      <c r="B68" s="86"/>
      <c r="C68" s="113"/>
      <c r="D68" s="24" t="s">
        <v>124</v>
      </c>
      <c r="E68" s="24" t="s">
        <v>183</v>
      </c>
      <c r="F68" s="24" t="s">
        <v>124</v>
      </c>
      <c r="G68" s="24" t="s">
        <v>183</v>
      </c>
      <c r="H68" s="24" t="s">
        <v>124</v>
      </c>
      <c r="I68" s="24" t="s">
        <v>183</v>
      </c>
      <c r="J68" s="136" t="s">
        <v>192</v>
      </c>
      <c r="K68" s="128"/>
      <c r="L68" s="7">
        <f t="shared" si="34"/>
        <v>10</v>
      </c>
      <c r="M68" s="7">
        <f t="shared" si="34"/>
        <v>0</v>
      </c>
      <c r="N68" s="7">
        <f t="shared" si="34"/>
        <v>8</v>
      </c>
      <c r="O68" s="7">
        <f t="shared" si="34"/>
        <v>2</v>
      </c>
      <c r="P68" s="7">
        <f t="shared" si="34"/>
        <v>6</v>
      </c>
      <c r="Q68" s="7">
        <f t="shared" si="34"/>
        <v>2</v>
      </c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</row>
    <row r="69" spans="1:82" x14ac:dyDescent="0.25">
      <c r="A69" s="81"/>
      <c r="B69" s="82"/>
      <c r="C69" s="115"/>
      <c r="D69" s="13" t="s">
        <v>125</v>
      </c>
      <c r="E69" s="13" t="s">
        <v>184</v>
      </c>
      <c r="F69" s="13" t="s">
        <v>125</v>
      </c>
      <c r="G69" s="13" t="s">
        <v>184</v>
      </c>
      <c r="H69" s="13" t="s">
        <v>125</v>
      </c>
      <c r="I69" s="13" t="s">
        <v>184</v>
      </c>
      <c r="J69" s="77" t="s">
        <v>193</v>
      </c>
      <c r="K69" s="128"/>
      <c r="L69" s="7">
        <f t="shared" si="34"/>
        <v>10</v>
      </c>
      <c r="M69" s="7">
        <f t="shared" si="34"/>
        <v>0</v>
      </c>
      <c r="N69" s="7">
        <f t="shared" si="34"/>
        <v>10</v>
      </c>
      <c r="O69" s="7">
        <f t="shared" si="34"/>
        <v>0</v>
      </c>
      <c r="P69" s="7">
        <f t="shared" si="34"/>
        <v>6</v>
      </c>
      <c r="Q69" s="7">
        <f t="shared" si="34"/>
        <v>0</v>
      </c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</row>
    <row r="70" spans="1:82" x14ac:dyDescent="0.25">
      <c r="A70" s="107"/>
      <c r="B70" s="107"/>
      <c r="C70" s="107"/>
      <c r="D70" s="107"/>
      <c r="E70" s="107"/>
      <c r="F70" s="107"/>
      <c r="G70" s="107"/>
      <c r="H70" s="107"/>
      <c r="I70" s="107"/>
      <c r="J70" s="107"/>
      <c r="K70" s="7"/>
      <c r="L70" s="7">
        <f t="shared" si="34"/>
        <v>10</v>
      </c>
      <c r="M70" s="7">
        <f t="shared" si="34"/>
        <v>0</v>
      </c>
      <c r="N70" s="7">
        <f t="shared" si="34"/>
        <v>6</v>
      </c>
      <c r="O70" s="7">
        <f t="shared" si="34"/>
        <v>0</v>
      </c>
      <c r="P70" s="7">
        <f t="shared" si="34"/>
        <v>6</v>
      </c>
      <c r="Q70" s="7">
        <f t="shared" si="34"/>
        <v>2</v>
      </c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</row>
    <row r="71" spans="1:82" x14ac:dyDescent="0.25">
      <c r="A71" s="108"/>
      <c r="B71" s="108"/>
      <c r="C71" s="108"/>
      <c r="D71" s="108"/>
      <c r="E71" s="108"/>
      <c r="F71" s="108"/>
      <c r="G71" s="108"/>
      <c r="H71" s="108"/>
      <c r="I71" s="108"/>
      <c r="J71" s="108"/>
      <c r="K71" s="7"/>
      <c r="L71" s="7">
        <f t="shared" si="34"/>
        <v>8</v>
      </c>
      <c r="M71" s="7">
        <f t="shared" si="34"/>
        <v>10</v>
      </c>
      <c r="N71" s="7">
        <f t="shared" si="34"/>
        <v>4</v>
      </c>
      <c r="O71" s="7">
        <f t="shared" si="34"/>
        <v>10</v>
      </c>
      <c r="P71" s="7">
        <f t="shared" si="34"/>
        <v>0</v>
      </c>
      <c r="Q71" s="7">
        <f t="shared" si="34"/>
        <v>10</v>
      </c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</row>
    <row r="72" spans="1:82" x14ac:dyDescent="0.25">
      <c r="K72" s="7"/>
      <c r="L72" s="7">
        <f t="shared" si="34"/>
        <v>6</v>
      </c>
      <c r="M72" s="7">
        <f t="shared" si="34"/>
        <v>6</v>
      </c>
      <c r="N72" s="7">
        <f t="shared" si="34"/>
        <v>2</v>
      </c>
      <c r="O72" s="7">
        <f t="shared" si="34"/>
        <v>6</v>
      </c>
      <c r="P72" s="7">
        <f t="shared" si="34"/>
        <v>2</v>
      </c>
      <c r="Q72" s="7">
        <f t="shared" si="34"/>
        <v>6</v>
      </c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</row>
    <row r="73" spans="1:82" x14ac:dyDescent="0.25">
      <c r="K73" s="7"/>
      <c r="L73" s="7">
        <f t="shared" si="34"/>
        <v>8</v>
      </c>
      <c r="M73" s="7">
        <f t="shared" si="34"/>
        <v>10</v>
      </c>
      <c r="N73" s="7">
        <f t="shared" si="34"/>
        <v>4</v>
      </c>
      <c r="O73" s="7">
        <f t="shared" si="34"/>
        <v>6</v>
      </c>
      <c r="P73" s="7">
        <f t="shared" si="34"/>
        <v>2</v>
      </c>
      <c r="Q73" s="7">
        <f t="shared" si="34"/>
        <v>10</v>
      </c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</row>
    <row r="74" spans="1:82" x14ac:dyDescent="0.25">
      <c r="K74" s="7"/>
      <c r="L74" s="7"/>
      <c r="M74" s="7"/>
      <c r="N74" s="7"/>
      <c r="O74" s="7"/>
      <c r="P74" s="7"/>
      <c r="Q74" s="7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</row>
    <row r="75" spans="1:82" x14ac:dyDescent="0.25"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</row>
    <row r="76" spans="1:82" x14ac:dyDescent="0.25"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</row>
    <row r="77" spans="1:82" x14ac:dyDescent="0.25"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</row>
    <row r="78" spans="1:82" x14ac:dyDescent="0.25"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</row>
    <row r="79" spans="1:82" x14ac:dyDescent="0.25"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</row>
    <row r="80" spans="1:82" x14ac:dyDescent="0.25"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</row>
    <row r="81" spans="18:66" x14ac:dyDescent="0.25"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</row>
    <row r="82" spans="18:66" x14ac:dyDescent="0.25"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</row>
    <row r="83" spans="18:66" x14ac:dyDescent="0.25"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</row>
    <row r="84" spans="18:66" x14ac:dyDescent="0.25"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</row>
    <row r="85" spans="18:66" x14ac:dyDescent="0.25"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</row>
    <row r="86" spans="18:66" x14ac:dyDescent="0.25"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</row>
    <row r="87" spans="18:66" x14ac:dyDescent="0.25"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</row>
    <row r="88" spans="18:66" x14ac:dyDescent="0.25"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</row>
    <row r="89" spans="18:66" x14ac:dyDescent="0.25"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</row>
    <row r="90" spans="18:66" x14ac:dyDescent="0.25"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</row>
    <row r="91" spans="18:66" x14ac:dyDescent="0.25"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</row>
    <row r="92" spans="18:66" x14ac:dyDescent="0.25"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</row>
    <row r="93" spans="18:66" x14ac:dyDescent="0.25"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</row>
    <row r="94" spans="18:66" x14ac:dyDescent="0.25"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</row>
    <row r="95" spans="18:66" x14ac:dyDescent="0.25"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</row>
    <row r="96" spans="18:66" x14ac:dyDescent="0.25"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</row>
    <row r="97" spans="18:66" x14ac:dyDescent="0.25"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</row>
    <row r="98" spans="18:66" x14ac:dyDescent="0.25"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</row>
    <row r="99" spans="18:66" x14ac:dyDescent="0.25"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</row>
    <row r="100" spans="18:66" x14ac:dyDescent="0.25"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</row>
    <row r="101" spans="18:66" x14ac:dyDescent="0.25"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</row>
    <row r="102" spans="18:66" x14ac:dyDescent="0.25"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</row>
    <row r="103" spans="18:66" x14ac:dyDescent="0.25"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</row>
    <row r="104" spans="18:66" x14ac:dyDescent="0.25"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</row>
    <row r="105" spans="18:66" x14ac:dyDescent="0.25"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</row>
    <row r="106" spans="18:66" x14ac:dyDescent="0.25"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</row>
    <row r="107" spans="18:66" x14ac:dyDescent="0.25"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</row>
  </sheetData>
  <phoneticPr fontId="5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D37D389-1F96-45A1-9157-C3DD87D32D7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r</dc:creator>
  <cp:lastModifiedBy>M</cp:lastModifiedBy>
  <dcterms:created xsi:type="dcterms:W3CDTF">2021-03-03T02:48:25Z</dcterms:created>
  <dcterms:modified xsi:type="dcterms:W3CDTF">2022-02-21T10:42:13Z</dcterms:modified>
</cp:coreProperties>
</file>